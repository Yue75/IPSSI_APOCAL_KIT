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lysse\Documents\APOCALIPSSI 2026\"/>
    </mc:Choice>
  </mc:AlternateContent>
  <xr:revisionPtr revIDLastSave="0" documentId="11_D3B6026E05EA87252EBE838CD93AA4440836D92F" xr6:coauthVersionLast="47" xr6:coauthVersionMax="47" xr10:uidLastSave="{00000000-0000-0000-0000-000000000000}"/>
  <bookViews>
    <workbookView xWindow="-120" yWindow="-120" windowWidth="29040" windowHeight="15720" firstSheet="3" activeTab="8" xr2:uid="{00000000-000D-0000-FFFF-FFFF00000000}"/>
  </bookViews>
  <sheets>
    <sheet name="00_Couverture" sheetId="1" r:id="rId1"/>
    <sheet name="01_Identification" sheetId="2" r:id="rId2"/>
    <sheet name="02_Release_Planning" sheetId="3" r:id="rId3"/>
    <sheet name="03_Burnup" sheetId="4" r:id="rId4"/>
    <sheet name="04_Auto-évaluation" sheetId="5" r:id="rId5"/>
    <sheet name="05_Écarts_à_valider" sheetId="6" r:id="rId6"/>
    <sheet name="06_Traceabilité_CJ" sheetId="7" r:id="rId7"/>
    <sheet name="07_Modifications" sheetId="8" r:id="rId8"/>
    <sheet name="08_Périmètre_Stori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8" i="4" s="1"/>
  <c r="D9" i="4" s="1"/>
  <c r="D10" i="4" s="1"/>
  <c r="D11" i="4" s="1"/>
  <c r="D12" i="4" s="1"/>
  <c r="D13" i="4" s="1"/>
  <c r="B21" i="3"/>
  <c r="B22" i="3" s="1"/>
  <c r="B18" i="3"/>
</calcChain>
</file>

<file path=xl/sharedStrings.xml><?xml version="1.0" encoding="utf-8"?>
<sst xmlns="http://schemas.openxmlformats.org/spreadsheetml/2006/main" count="698" uniqueCount="402">
  <si>
    <t>A
APOCAL'IPSSI</t>
  </si>
  <si>
    <t>RELEASE PLANNING</t>
  </si>
  <si>
    <t>IDENTIFICATION DU DOCUMENT</t>
  </si>
  <si>
    <t>Équipe n°</t>
  </si>
  <si>
    <t>22</t>
  </si>
  <si>
    <t>Membres</t>
  </si>
  <si>
    <t>Antoine VAUTHIER, Alainpatrick GOMAS, Cleg LOUFOUA, Baptiste MAES, Kyllian VIGNOCAN, Tom LAU, Yacine DJEBBOURI</t>
  </si>
  <si>
    <t>Sprint concerné</t>
  </si>
  <si>
    <t>Version</t>
  </si>
  <si>
    <t>Date de remise</t>
  </si>
  <si>
    <t>Statut</t>
  </si>
  <si>
    <t>HYPOTHÈSES DE CAPACITÉ</t>
  </si>
  <si>
    <t>SOURCES UTILISÉES</t>
  </si>
  <si>
    <t>Sprint</t>
  </si>
  <si>
    <t>Jour</t>
  </si>
  <si>
    <t>Horaires</t>
  </si>
  <si>
    <t>Capacité
(h-pers)</t>
  </si>
  <si>
    <t>Vélocité cible
(SP)</t>
  </si>
  <si>
    <t>Objectif sprint</t>
  </si>
  <si>
    <t>Stories engagées</t>
  </si>
  <si>
    <t>Release / Jalon</t>
  </si>
  <si>
    <t>SYNTHÈSE DU PÉRIMÈTRE ENGAGÉ</t>
  </si>
  <si>
    <t>Fin de sprint</t>
  </si>
  <si>
    <t>SP planifiés
sur le sprint</t>
  </si>
  <si>
    <t>SP livrés cumulés
(idéal)</t>
  </si>
  <si>
    <t>SP livrés cumulés
(réel)</t>
  </si>
  <si>
    <t>Scope total</t>
  </si>
  <si>
    <t>GRILLE D'AUTO-ÉVALUATION</t>
  </si>
  <si>
    <t>Critère qualité</t>
  </si>
  <si>
    <t>Auto-évaluation</t>
  </si>
  <si>
    <t>Commentaire / preuve</t>
  </si>
  <si>
    <t>Action restante</t>
  </si>
  <si>
    <t>ÉCARTS À RÉGULARISER AVANT VALIDATION PO</t>
  </si>
  <si>
    <t>Priorité</t>
  </si>
  <si>
    <t>Écart constaté</t>
  </si>
  <si>
    <t>Pourquoi c'est important</t>
  </si>
  <si>
    <t>Action attendue</t>
  </si>
  <si>
    <t>Impact planning</t>
  </si>
  <si>
    <t>TRAÇABILITÉ CUSTOMER JOURNEY → RELEASE PLANNING</t>
  </si>
  <si>
    <t>Vérification que les étapes des parcours finaux de Léa Martin et Mme Sophie Lefèvre sont couvertes, reportées ou explicitement hors engagement.</t>
  </si>
  <si>
    <t>Persona</t>
  </si>
  <si>
    <t>Étape du parcours</t>
  </si>
  <si>
    <t>Besoin / action clé</t>
  </si>
  <si>
    <t>Story / périmètre</t>
  </si>
  <si>
    <t>Observation</t>
  </si>
  <si>
    <t>Planning des 7 sprints et des 2 releases d'EduTutor IA
Version consolidée après les perturbations J3 Sécurité et J3-bis RGPD</t>
  </si>
  <si>
    <t>Release 1 : MVP étudiant sécurisé et conforme · Release 2 : parcours enseignant prioritaire</t>
  </si>
  <si>
    <t>Projet EduTutor IA · Édition 2026 · Semaine immersive Scrum
Équipe 22 · Version v3.0 · Statut : Draft à valider par le PO</t>
  </si>
  <si>
    <t>Cadrage / post-perturbations J3 et J3-bis</t>
  </si>
  <si>
    <t>v3.0</t>
  </si>
  <si>
    <t>01/07/2026</t>
  </si>
  <si>
    <t>Draft - en attente de validation PO</t>
  </si>
  <si>
    <t>DÉCISION DE REPLANIFICATION POST-J3 / J3-BIS</t>
  </si>
  <si>
    <t>Le Release Planning suit le Product Backlog le plus récent : les stories J3 de sécurité (US-24 à US-26) et J3-bis RGPD (US-12 et US-27) sont intégrées à la Release 1. Les fonctionnalités enseignantes US-21, US-22 et US-23 restent prioritaires dans le scope global, mais sont déplacées en Release 2 afin de protéger l'échéance du MVP sécurisé et conforme. Les anciennes stories J1 provisoires de détection et de progression ne sont plus comptées tant qu'elles ne sont pas officialisées dans le Backlog.</t>
  </si>
  <si>
    <t>Taille équipe</t>
  </si>
  <si>
    <t>personnes</t>
  </si>
  <si>
    <t>Hypothèse de planification : les stories techniques J3/J3-bis sont comptées séparément car elles disposent désormais d'identifiants et de Story Points propres dans le Product Backlog. Les estimations restent à confirmer en Planning Poker. Les Sprints 4 et 6 portent 13 SP : ce sont les deux principaux points de vigilance.</t>
  </si>
  <si>
    <t>Capacité théorique semaine</t>
  </si>
  <si>
    <t>heures-personnes</t>
  </si>
  <si>
    <t>Scope engagé total</t>
  </si>
  <si>
    <t>SP</t>
  </si>
  <si>
    <t>Release 1</t>
  </si>
  <si>
    <t>Release 2 additionnelle</t>
  </si>
  <si>
    <t>Story Map</t>
  </si>
  <si>
    <t>Version post-J1 fournie par l'équipe</t>
  </si>
  <si>
    <t>Product Backlog</t>
  </si>
  <si>
    <t>product-backlog + perturbations j3.docx — US-01 à US-27</t>
  </si>
  <si>
    <t>Customer Journey</t>
  </si>
  <si>
    <t>customer-journey-final.docx — Léa Martin et Mme Sophie Lefèvre</t>
  </si>
  <si>
    <t>Persona enseignante</t>
  </si>
  <si>
    <t>equipe-22-persona-lefevre-v2.0.md</t>
  </si>
  <si>
    <t>Release Planning</t>
  </si>
  <si>
    <t>Version v3.0 consolidée J3 / J3-bis</t>
  </si>
  <si>
    <t>RELEASE PLANNING : VERSION POST-J3 / J3-BIS</t>
  </si>
  <si>
    <t>7 sprints × demi-journée · Release 1 sécurisée et conforme en fin de Sprint 5 · Release 2 enseignante en fin de Sprint 7</t>
  </si>
  <si>
    <t>Cadrage</t>
  </si>
  <si>
    <t>Lundi matin</t>
  </si>
  <si>
    <t>9h00 - 13h30</t>
  </si>
  <si>
    <t>n.c.</t>
  </si>
  <si>
    <t>Aligner Story Map, Product Backlog, Customer Journey et Release Planning ; intégrer J1 ; poser le cadre des perturbations.</t>
  </si>
  <si>
    <t>Validation PO + décision J1</t>
  </si>
  <si>
    <t>Sprint 1</t>
  </si>
  <si>
    <t>Lundi PM</t>
  </si>
  <si>
    <t>14h00 - 18h00</t>
  </si>
  <si>
    <t>8-10</t>
  </si>
  <si>
    <t>Livrer l'entrée du parcours étudiant : création de compte et import du cours.</t>
  </si>
  <si>
    <t>US-01 (3) · US-02 (5) = 8 SP</t>
  </si>
  <si>
    <t>Sprint Review 18h</t>
  </si>
  <si>
    <t>Sprint 2</t>
  </si>
  <si>
    <t>Mardi matin</t>
  </si>
  <si>
    <t>9h00 - 12h30</t>
  </si>
  <si>
    <t>Générer 10 QCM depuis le cours et mesurer la latence avec le benchmark J2.</t>
  </si>
  <si>
    <t>US-03 (8) = 8 SP</t>
  </si>
  <si>
    <t>⚡ Perturbation J2 à 10h</t>
  </si>
  <si>
    <t>Sprint 3</t>
  </si>
  <si>
    <t>Mardi PM</t>
  </si>
  <si>
    <t>Permettre la soumission du quiz, la correction, l'affichage du score et l'historique étudiant.</t>
  </si>
  <si>
    <t>US-04 (3) · US-05 (3) · US-06 (3) = 9 SP</t>
  </si>
  <si>
    <t>Sprint 4</t>
  </si>
  <si>
    <t>Mercredi matin</t>
  </si>
  <si>
    <t>12-13</t>
  </si>
  <si>
    <t>Corriger la vulnérabilité J3 : isoler le contenu du cours, valider les sorties et automatiser les tests adversariaux.</t>
  </si>
  <si>
    <t>US-24 (5) · US-25 (3) · US-26 (5) = 13 SP</t>
  </si>
  <si>
    <t>⚡ Perturbation J3 à 10h</t>
  </si>
  <si>
    <t>Sprint 5</t>
  </si>
  <si>
    <t>Mercredi PM</t>
  </si>
  <si>
    <t>Rendre l'export RGPD utilisable et traçable : JSON/CSV, téléchargement et audit des demandes SAR.</t>
  </si>
  <si>
    <t>US-12 (5) · US-27 (3) = 8 SP</t>
  </si>
  <si>
    <t>⚡ J3-bis 14h · RELEASE 1 = 46 SP</t>
  </si>
  <si>
    <t>Sprint 6</t>
  </si>
  <si>
    <t>Jeudi matin</t>
  </si>
  <si>
    <t>Livrer le premier parcours enseignant prioritaire : créer, partager un quiz et consulter les résultats de classe.</t>
  </si>
  <si>
    <t>US-21 (8) · US-22 (5) = 13 SP</t>
  </si>
  <si>
    <t>⚡ Perturbation J4 à 10h</t>
  </si>
  <si>
    <t>Sprint 7</t>
  </si>
  <si>
    <t>Jeudi PM</t>
  </si>
  <si>
    <t>14h00 - 17h00</t>
  </si>
  <si>
    <t>Finaliser le parcours enseignant avec la correction automatique et stabiliser la Release 2.</t>
  </si>
  <si>
    <t>US-23 (8) = 8 SP</t>
  </si>
  <si>
    <t>RELEASE 2 = 67 SP cumulés</t>
  </si>
  <si>
    <t>Soutenance</t>
  </si>
  <si>
    <t>Vendredi</t>
  </si>
  <si>
    <t>Selon planning</t>
  </si>
  <si>
    <t>Pitch, démonstration du MVP sécurisé/RGPD et du parcours enseignant, retour sur les perturbations et Q/R.</t>
  </si>
  <si>
    <t>Soutenance + délibération</t>
  </si>
  <si>
    <t>Indicateur</t>
  </si>
  <si>
    <t>Valeur</t>
  </si>
  <si>
    <t>Unité</t>
  </si>
  <si>
    <t>Lecture</t>
  </si>
  <si>
    <t>Arbitrage appliqué : la Release 1 est recentrée sur le MVP étudiant, la sécurité et le RGPD. La cible enseignante est considérée comme prioritaire dans le scope global conformément au Backlog, mais elle est livrée en Release 2. Les stories J1 non numérotées ne sont pas incluses dans les 67 SP.</t>
  </si>
  <si>
    <t>Capacité totale</t>
  </si>
  <si>
    <t>h-pers</t>
  </si>
  <si>
    <t>Hypothèse 7 personnes sans absence</t>
  </si>
  <si>
    <t>SP Release 1</t>
  </si>
  <si>
    <t>MVP étudiant + sécurité J3 + RGPD J3-bis</t>
  </si>
  <si>
    <t>SP Release 2</t>
  </si>
  <si>
    <t>Parcours enseignant US-21 à US-23</t>
  </si>
  <si>
    <t>SP total engagés</t>
  </si>
  <si>
    <t>Scope consolidé des stories planifiées</t>
  </si>
  <si>
    <t>Écart vs cible 60 SP</t>
  </si>
  <si>
    <t>Surcapacité à surveiller</t>
  </si>
  <si>
    <t>BURNUP GLOBAL : POST-J3 / J3-BIS</t>
  </si>
  <si>
    <t>SP livrés cumulés vs scope consolidé de 67 SP. La colonne « Réel » reste à renseigner après chaque Sprint Review.</t>
  </si>
  <si>
    <t>Sprint 0</t>
  </si>
  <si>
    <t>Lun 13h30</t>
  </si>
  <si>
    <t>Lun 18h</t>
  </si>
  <si>
    <t>Mar 12h30</t>
  </si>
  <si>
    <t>Mar 18h</t>
  </si>
  <si>
    <t>Mer 12h30</t>
  </si>
  <si>
    <t>Mer 18h</t>
  </si>
  <si>
    <t>Jeu 12h30</t>
  </si>
  <si>
    <t>Jeu 17h</t>
  </si>
  <si>
    <t>Lecture : la trajectoire atteint 46 SP à la fin du Sprint 5 (Release 1) et 67 SP à la fin du Sprint 7 (Release 2). Les Sprints 4 et 6 sont les plus chargés avec 13 SP.</t>
  </si>
  <si>
    <t>Les 7 sprints sont planifiés avec jour, horaires et capacité chiffrée.</t>
  </si>
  <si>
    <t>Oui</t>
  </si>
  <si>
    <t>Feuille 02_Release_Planning</t>
  </si>
  <si>
    <t>Le scope J3 et J3-bis est traduit en User Stories planifiées.</t>
  </si>
  <si>
    <t>US-12 et US-24 à US-27 sont positionnées.</t>
  </si>
  <si>
    <t>La Release 1 est recentrée sur le MVP étudiant sécurisé et conforme.</t>
  </si>
  <si>
    <t>46 SP cumulés en fin de S5.</t>
  </si>
  <si>
    <t>La Release 2 couvre le parcours enseignant prioritaire.</t>
  </si>
  <si>
    <t>US-21, US-22 et US-23 en S6/S7.</t>
  </si>
  <si>
    <t>Le Burnup est recalculé sur le nouveau scope.</t>
  </si>
  <si>
    <t>Scope consolidé = 67 SP.</t>
  </si>
  <si>
    <t>Renseigner les SP réels après chaque review.</t>
  </si>
  <si>
    <t>Les parcours Léa Martin et Mme Lefèvre restent traçables.</t>
  </si>
  <si>
    <t>Feuille 06_Traceabilité_CJ.</t>
  </si>
  <si>
    <t>Les stories J1 provisoires non présentes au Backlog ont été retirées du scope engagé.</t>
  </si>
  <si>
    <t>Elles restent dans les écarts à régulariser.</t>
  </si>
  <si>
    <t>Les incohérences du Product Backlog sont identifiées.</t>
  </si>
  <si>
    <t>Feuille 05_Écarts_à_valider.</t>
  </si>
  <si>
    <t>Faire corriger le Backlog source.</t>
  </si>
  <si>
    <t>La charge des sprints est réaliste.</t>
  </si>
  <si>
    <t>Partiel</t>
  </si>
  <si>
    <t>S4 et S6 = 13 SP.</t>
  </si>
  <si>
    <t>Valider la capacité en Sprint Planning.</t>
  </si>
  <si>
    <t>Le Release Planning a été validé par le PO.</t>
  </si>
  <si>
    <t>Non</t>
  </si>
  <si>
    <t>Document encore en Draft.</t>
  </si>
  <si>
    <t>Revue équipe + validation PO.</t>
  </si>
  <si>
    <t>Haute</t>
  </si>
  <si>
    <t>Le Backlog affiche encore 20/23 stories et 137 SP alors qu'il contient US-01 à US-27.</t>
  </si>
  <si>
    <t>Les totaux source sont obsolètes.</t>
  </si>
  <si>
    <t>Corriger les métadonnées du Backlog et recalculer ses totaux.</t>
  </si>
  <si>
    <t>Le Release Planning utilise uniquement les stories planifiées.</t>
  </si>
  <si>
    <t>La Story Map/persona positionne l'enseignante en SHOULD alors que le Backlog marque US-21 et US-23 en MUST.</t>
  </si>
  <si>
    <t>Les artefacts ne racontent pas la même priorité.</t>
  </si>
  <si>
    <t>Aligner Story Map, persona et note MoSCoW sur la décision PO.</t>
  </si>
  <si>
    <t>Le planning suit le Backlog et livre la prof en Release 2.</t>
  </si>
  <si>
    <t>US-03 intègre déjà des critères de sécurité proches de US-24 et US-25.</t>
  </si>
  <si>
    <t>Risque de double comptage fonctionnel.</t>
  </si>
  <si>
    <t>Conserver US-24/25 comme incréments J3 distincts ou réestimer US-03.</t>
  </si>
  <si>
    <t>67 SP retenus provisoirement.</t>
  </si>
  <si>
    <t>US-23 recouvre en partie la correction automatique déjà réalisée par US-04/US-05.</t>
  </si>
  <si>
    <t>Risque de dupliquer l'effort.</t>
  </si>
  <si>
    <t>Réutiliser le moteur existant et confirmer l'estimation de 8 SP.</t>
  </si>
  <si>
    <t>Peut réduire la charge du Sprint 7.</t>
  </si>
  <si>
    <t>Moyenne</t>
  </si>
  <si>
    <t>US-27 n'a pas de critères Given/When/Then détaillés dans la version fournie.</t>
  </si>
  <si>
    <t>L'audit SAR doit être testable.</t>
  </si>
  <si>
    <t>Ajouter utilisateur, date, statut, date de réponse et hash d'export.</t>
  </si>
  <si>
    <t>S5 reste à 8 SP sous réserve.</t>
  </si>
  <si>
    <t>La règle de détection des décrocheurs (&lt;5/10 sur 2 quiz) n'a toujours pas de story officielle.</t>
  </si>
  <si>
    <t>Le besoin J1 n'est pas traçable.</t>
  </si>
  <si>
    <t>Créer une US dédiée ou l'intégrer à US-22.</t>
  </si>
  <si>
    <t>Non incluse dans les 67 SP.</t>
  </si>
  <si>
    <t>Le réseau dégradé et la disponibilité du dashboard restent des exigences non fonctionnelles.</t>
  </si>
  <si>
    <t>Risque d'échec en classe.</t>
  </si>
  <si>
    <t>Ajouter tests de performance, loader et gestion d'erreur.</t>
  </si>
  <si>
    <t>À réserver dans S6/S7.</t>
  </si>
  <si>
    <t>US-07 est SHOULD/S6 dans le Backlog mais était auparavant traitée comme MUST/S3.</t>
  </si>
  <si>
    <t>Le périmètre a changé.</t>
  </si>
  <si>
    <t>Confirmer son report hors scope engagé.</t>
  </si>
  <si>
    <t>US-07 retirée des 67 SP.</t>
  </si>
  <si>
    <t>Les Sprints 4 et 6 portent chacun 13 SP.</t>
  </si>
  <si>
    <t>Risque de dépassement de vélocité.</t>
  </si>
  <si>
    <t>Découper les tâches et réarbitrer au Sprint Planning.</t>
  </si>
  <si>
    <t>Point de vigilance principal.</t>
  </si>
  <si>
    <t>Basse</t>
  </si>
  <si>
    <t>La capacité suppose 7 personnes présentes sur toute la semaine.</t>
  </si>
  <si>
    <t>Toute absence réduit les 203 h-pers.</t>
  </si>
  <si>
    <t>Confirmer les disponibilités au Daily.</t>
  </si>
  <si>
    <t>Replanification si besoin.</t>
  </si>
  <si>
    <t>Léa Martin</t>
  </si>
  <si>
    <t>Inscription</t>
  </si>
  <si>
    <t>Créer un compte et valider l'accès</t>
  </si>
  <si>
    <t>US-01</t>
  </si>
  <si>
    <t>S1</t>
  </si>
  <si>
    <t>Engagé</t>
  </si>
  <si>
    <t>Entrée dans le produit.</t>
  </si>
  <si>
    <t>Première utilisation</t>
  </si>
  <si>
    <t>Importer PDF ou texte</t>
  </si>
  <si>
    <t>US-02</t>
  </si>
  <si>
    <t>Précondition du quiz.</t>
  </si>
  <si>
    <t>Générer 10 QCM depuis son cours</t>
  </si>
  <si>
    <t>US-03</t>
  </si>
  <si>
    <t>S2</t>
  </si>
  <si>
    <t>Latence traitée par J2.</t>
  </si>
  <si>
    <t>Sécurité</t>
  </si>
  <si>
    <t>Ignorer les instructions malveillantes du cours</t>
  </si>
  <si>
    <t>US-24</t>
  </si>
  <si>
    <t>S4</t>
  </si>
  <si>
    <t>Patch J3.</t>
  </si>
  <si>
    <t>Tous personas</t>
  </si>
  <si>
    <t>Fiabilité</t>
  </si>
  <si>
    <t>Valider automatiquement le quiz avant affichage</t>
  </si>
  <si>
    <t>US-25</t>
  </si>
  <si>
    <t>Format et cohérence.</t>
  </si>
  <si>
    <t>Équipe de dev</t>
  </si>
  <si>
    <t>Sécurité CI</t>
  </si>
  <si>
    <t>Exécuter les tests adversariaux sur push/PR</t>
  </si>
  <si>
    <t>US-26</t>
  </si>
  <si>
    <t>Non-régression.</t>
  </si>
  <si>
    <t>Soumettre, corriger et voir le score</t>
  </si>
  <si>
    <t>US-04 / US-05</t>
  </si>
  <si>
    <t>S3</t>
  </si>
  <si>
    <t>Cœur du MVP.</t>
  </si>
  <si>
    <t>Utilisation régulière</t>
  </si>
  <si>
    <t>Consulter l'historique</t>
  </si>
  <si>
    <t>US-06</t>
  </si>
  <si>
    <t>Progression minimale.</t>
  </si>
  <si>
    <t>Gestion du compte</t>
  </si>
  <si>
    <t>Exporter ses données en JSON/CSV</t>
  </si>
  <si>
    <t>US-12</t>
  </si>
  <si>
    <t>S5</t>
  </si>
  <si>
    <t>Droit d'accès RGPD.</t>
  </si>
  <si>
    <t>Administrateur</t>
  </si>
  <si>
    <t>Conformité</t>
  </si>
  <si>
    <t>Tracer les demandes SAR</t>
  </si>
  <si>
    <t>US-27</t>
  </si>
  <si>
    <t>Audit trail RGPD.</t>
  </si>
  <si>
    <t>Mme Lefèvre</t>
  </si>
  <si>
    <t>Adoption</t>
  </si>
  <si>
    <t>Créer et partager un quiz</t>
  </si>
  <si>
    <t>US-21</t>
  </si>
  <si>
    <t>S6</t>
  </si>
  <si>
    <t>Cible enseignante prioritaire.</t>
  </si>
  <si>
    <t>Utilisation hebdomadaire</t>
  </si>
  <si>
    <t>Voir les résultats de classe</t>
  </si>
  <si>
    <t>US-22</t>
  </si>
  <si>
    <t>Dashboard de classe.</t>
  </si>
  <si>
    <t>Correction</t>
  </si>
  <si>
    <t>Corriger automatiquement les réponses</t>
  </si>
  <si>
    <t>US-23</t>
  </si>
  <si>
    <t>S7</t>
  </si>
  <si>
    <t>Réutilisation attendue de US-04/05.</t>
  </si>
  <si>
    <t>Satisfaction</t>
  </si>
  <si>
    <t>Repérer &lt;5/10 sur 2 quiz</t>
  </si>
  <si>
    <t>Story non créée</t>
  </si>
  <si>
    <t>Après R2</t>
  </si>
  <si>
    <t>Non engagé</t>
  </si>
  <si>
    <t>Besoin J1 à officialiser.</t>
  </si>
  <si>
    <t>LISTE DES MODIFICATIONS EFFECTUÉES — VERSION v3.0</t>
  </si>
  <si>
    <t>Synthèse des changements appliqués au Release Planning après analyse du Product Backlog intégrant J3 et J3-bis.</t>
  </si>
  <si>
    <t>Zone modifiée</t>
  </si>
  <si>
    <t>Modification</t>
  </si>
  <si>
    <t>Pourquoi</t>
  </si>
  <si>
    <t>Impact</t>
  </si>
  <si>
    <t>Version / couverture</t>
  </si>
  <si>
    <t>Passage en v3.0 post-J3/J3-bis.</t>
  </si>
  <si>
    <t>Tracer la nouvelle baseline.</t>
  </si>
  <si>
    <t>Document identifiable.</t>
  </si>
  <si>
    <t>Fait</t>
  </si>
  <si>
    <t>Décision de scope</t>
  </si>
  <si>
    <t>Release 1 recentrée sur étudiant + sécurité + RGPD.</t>
  </si>
  <si>
    <t>Protéger l'échéance MVP.</t>
  </si>
  <si>
    <t>46 SP en R1.</t>
  </si>
  <si>
    <t>Parcours enseignant</t>
  </si>
  <si>
    <t>US-21 à US-23 déplacées en Release 2.</t>
  </si>
  <si>
    <t>Libérer la capacité pour J3/J3-bis.</t>
  </si>
  <si>
    <t>21 SP en R2.</t>
  </si>
  <si>
    <t>J3 sécurité</t>
  </si>
  <si>
    <t>Ajout US-24, US-25 et US-26 en Sprint 4.</t>
  </si>
  <si>
    <t>Backlog enrichi après prompt injection.</t>
  </si>
  <si>
    <t>+13 SP.</t>
  </si>
  <si>
    <t>J3-bis RGPD</t>
  </si>
  <si>
    <t>Ajout US-12 et US-27 en Sprint 5.</t>
  </si>
  <si>
    <t>Export et audit SAR obligatoires.</t>
  </si>
  <si>
    <t>+8 SP.</t>
  </si>
  <si>
    <t>US-06 déplacée en Sprint 3 ; US-07 retirée du scope.</t>
  </si>
  <si>
    <t>Aligner les priorités du nouveau Backlog.</t>
  </si>
  <si>
    <t>Sprint 3 = 9 SP.</t>
  </si>
  <si>
    <t>Stories J1 provisoires</t>
  </si>
  <si>
    <t>Retrait de US-J1-01/02 du scope engagé.</t>
  </si>
  <si>
    <t>Elles n'existent pas dans le Backlog officiel.</t>
  </si>
  <si>
    <t>-10 SP anciens.</t>
  </si>
  <si>
    <t>Recalcul de 51 SP à 67 SP.</t>
  </si>
  <si>
    <t>Intégration des stories J3/J3-bis et enseignantes.</t>
  </si>
  <si>
    <t>+16 SP nets.</t>
  </si>
  <si>
    <t>Burnup</t>
  </si>
  <si>
    <t>Courbe idéale recalculée : 8/16/25/38/46/59/67.</t>
  </si>
  <si>
    <t>Refléter le nouveau plan.</t>
  </si>
  <si>
    <t>R1 à 46, R2 à 67.</t>
  </si>
  <si>
    <t>Traceabilité</t>
  </si>
  <si>
    <t>Ajout des stories sécurité, RGPD et enseignantes.</t>
  </si>
  <si>
    <t>Relier besoins, backlog et sprints.</t>
  </si>
  <si>
    <t>Couverture complète.</t>
  </si>
  <si>
    <t>Critères actualisés post-J3/J3-bis.</t>
  </si>
  <si>
    <t>Évaluer la nouvelle version.</t>
  </si>
  <si>
    <t>Points de vigilance visibles.</t>
  </si>
  <si>
    <t>Écarts</t>
  </si>
  <si>
    <t>Liste mise à jour avec doublons et incohérences du Backlog.</t>
  </si>
  <si>
    <t>Éviter de masquer les arbitrages restants.</t>
  </si>
  <si>
    <t>Actions PO identifiées.</t>
  </si>
  <si>
    <t>PÉRIMÈTRE DES STORIES ENGAGÉES</t>
  </si>
  <si>
    <t>ID</t>
  </si>
  <si>
    <t>Intitulé court</t>
  </si>
  <si>
    <t>MoSCoW</t>
  </si>
  <si>
    <t>Release</t>
  </si>
  <si>
    <t>Motif de planification</t>
  </si>
  <si>
    <t>Risque / dépendance</t>
  </si>
  <si>
    <t>Créer un compte</t>
  </si>
  <si>
    <t>MUST</t>
  </si>
  <si>
    <t>R1</t>
  </si>
  <si>
    <t>Entrée du parcours étudiant</t>
  </si>
  <si>
    <t>Email / auth</t>
  </si>
  <si>
    <t>Précondition de génération</t>
  </si>
  <si>
    <t>Extraction contenu</t>
  </si>
  <si>
    <t>Générer 10 QCM</t>
  </si>
  <si>
    <t>Cœur du MVP</t>
  </si>
  <si>
    <t>Latence J2</t>
  </si>
  <si>
    <t>US-04</t>
  </si>
  <si>
    <t>Soumettre et corriger</t>
  </si>
  <si>
    <t>Évaluation de l'étudiant</t>
  </si>
  <si>
    <t>Moteur correction</t>
  </si>
  <si>
    <t>US-05</t>
  </si>
  <si>
    <t>Afficher score et détails</t>
  </si>
  <si>
    <t>Mesure de progression</t>
  </si>
  <si>
    <t>Dépend US-04</t>
  </si>
  <si>
    <t>Progression minimale</t>
  </si>
  <si>
    <t>Persistance</t>
  </si>
  <si>
    <t>Neutraliser prompt injection</t>
  </si>
  <si>
    <t>Correctif J3 bloquant</t>
  </si>
  <si>
    <t>Chevauche US-03</t>
  </si>
  <si>
    <t>Valider le quiz généré</t>
  </si>
  <si>
    <t>Fiabilité post-LLM</t>
  </si>
  <si>
    <t>Schéma de sortie</t>
  </si>
  <si>
    <t>Tests adversariaux en CI</t>
  </si>
  <si>
    <t>SHOULD</t>
  </si>
  <si>
    <t>Non-régression J3</t>
  </si>
  <si>
    <t>Pipeline CI</t>
  </si>
  <si>
    <t>Exporter JSON / CSV</t>
  </si>
  <si>
    <t>Droit d'accès RGPD</t>
  </si>
  <si>
    <t>Isolation utilisateurs</t>
  </si>
  <si>
    <t>Auditer les demandes SAR</t>
  </si>
  <si>
    <t>Traçabilité RGPD</t>
  </si>
  <si>
    <t>Modèle DataRequest</t>
  </si>
  <si>
    <t>R2</t>
  </si>
  <si>
    <t>Entrée du parcours enseignant</t>
  </si>
  <si>
    <t>Partage classe</t>
  </si>
  <si>
    <t>Suivi enseignant</t>
  </si>
  <si>
    <t>Droits + dashboard</t>
  </si>
  <si>
    <t>Corriger automatiquement</t>
  </si>
  <si>
    <t>Finaliser le parcours enseignant</t>
  </si>
  <si>
    <t>Réutiliser US-04/05</t>
  </si>
  <si>
    <t>US planifiées dans S1 à S7</t>
  </si>
  <si>
    <t>SP MUST</t>
  </si>
  <si>
    <t>Socle obligatoire global</t>
  </si>
  <si>
    <t>SP SHOULD</t>
  </si>
  <si>
    <t>Compliance et valeur d'usage</t>
  </si>
  <si>
    <t>SP total</t>
  </si>
  <si>
    <t>Scope consolidé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</si>
</sst>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1"/>
      <color rgb="FFFFFFFF"/>
      <name val="Carlito"/>
    </font>
    <font>
      <b/>
      <sz val="11"/>
      <color rgb="FF172554"/>
      <name val="Carlito"/>
    </font>
    <font>
      <sz val="11"/>
      <color rgb="FF64748B"/>
      <name val="Carlito"/>
    </font>
    <font>
      <sz val="11"/>
      <color rgb="FF0F172A"/>
      <name val="Carlito"/>
    </font>
    <font>
      <i/>
      <sz val="11"/>
      <color rgb="FF172554"/>
      <name val="Carlito"/>
    </font>
  </fonts>
  <fills count="15">
    <fill>
      <patternFill patternType="none"/>
    </fill>
    <fill>
      <patternFill patternType="gray125"/>
    </fill>
    <fill>
      <patternFill patternType="solid">
        <fgColor rgb="FF172554"/>
      </patternFill>
    </fill>
    <fill>
      <patternFill patternType="solid">
        <fgColor rgb="FFFEF3C7"/>
      </patternFill>
    </fill>
    <fill>
      <patternFill patternType="solid">
        <fgColor rgb="FFF1F5F9"/>
      </patternFill>
    </fill>
    <fill>
      <patternFill patternType="solid">
        <fgColor rgb="FF1E3A8A"/>
      </patternFill>
    </fill>
    <fill>
      <patternFill patternType="solid">
        <fgColor rgb="FFDCFCE7"/>
      </patternFill>
    </fill>
    <fill>
      <patternFill patternType="solid">
        <fgColor rgb="FFEFF6FF"/>
      </patternFill>
    </fill>
    <fill>
      <patternFill patternType="solid">
        <fgColor rgb="FF16A34A"/>
      </patternFill>
    </fill>
    <fill>
      <patternFill patternType="solid">
        <fgColor rgb="FF172554"/>
      </patternFill>
    </fill>
    <fill>
      <patternFill patternType="solid">
        <fgColor rgb="FFEFF6FF"/>
      </patternFill>
    </fill>
    <fill>
      <patternFill patternType="solid">
        <fgColor rgb="FFDCFCE7"/>
      </patternFill>
    </fill>
    <fill>
      <patternFill patternType="solid">
        <fgColor rgb="FFFEF3C7"/>
      </patternFill>
    </fill>
    <fill>
      <patternFill patternType="solid">
        <fgColor rgb="FF172554"/>
      </patternFill>
    </fill>
    <fill>
      <patternFill patternType="solid">
        <fgColor rgb="FFEFF6FF"/>
      </patternFill>
    </fill>
  </fills>
  <borders count="16">
    <border>
      <left/>
      <right/>
      <top/>
      <bottom/>
      <diagonal/>
    </border>
    <border>
      <left style="thin">
        <color rgb="FFCBD5E1"/>
      </left>
      <right style="thin">
        <color rgb="FFCBD5E1"/>
      </right>
      <top style="thin">
        <color rgb="FFCBD5E1"/>
      </top>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
      <left style="thin">
        <color rgb="FFCBD5E1"/>
      </left>
      <right/>
      <top style="thin">
        <color rgb="FFCBD5E1"/>
      </top>
      <bottom/>
      <diagonal/>
    </border>
    <border>
      <left/>
      <right/>
      <top style="thin">
        <color rgb="FFCBD5E1"/>
      </top>
      <bottom/>
      <diagonal/>
    </border>
    <border>
      <left/>
      <right style="thin">
        <color rgb="FFCBD5E1"/>
      </right>
      <top style="thin">
        <color rgb="FFCBD5E1"/>
      </top>
      <bottom/>
      <diagonal/>
    </border>
    <border>
      <left style="thin">
        <color rgb="FFCBD5E1"/>
      </left>
      <right/>
      <top/>
      <bottom/>
      <diagonal/>
    </border>
    <border>
      <left/>
      <right style="thin">
        <color rgb="FFCBD5E1"/>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98">
    <xf numFmtId="0" fontId="0" fillId="0" borderId="0" xfId="0"/>
    <xf numFmtId="0" fontId="2" fillId="4" borderId="1" xfId="0" applyFont="1" applyFill="1" applyBorder="1" applyAlignment="1">
      <alignment vertical="center" wrapText="1"/>
    </xf>
    <xf numFmtId="0" fontId="2" fillId="4" borderId="2" xfId="0" applyFont="1" applyFill="1" applyBorder="1" applyAlignment="1">
      <alignment vertical="center" wrapText="1"/>
    </xf>
    <xf numFmtId="0" fontId="2" fillId="4" borderId="3" xfId="0" applyFont="1" applyFill="1" applyBorder="1" applyAlignment="1">
      <alignment vertical="center"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6" borderId="7" xfId="0" applyFont="1" applyFill="1" applyBorder="1" applyAlignment="1">
      <alignment vertical="top" wrapText="1"/>
    </xf>
    <xf numFmtId="0" fontId="4" fillId="6" borderId="0" xfId="0" applyFont="1" applyFill="1" applyAlignment="1">
      <alignment vertical="top" wrapText="1"/>
    </xf>
    <xf numFmtId="0" fontId="4" fillId="0" borderId="4"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1" xfId="0" applyFont="1" applyBorder="1" applyAlignment="1">
      <alignment vertical="top" wrapText="1"/>
    </xf>
    <xf numFmtId="164" fontId="4" fillId="0" borderId="4" xfId="0" applyNumberFormat="1" applyFont="1" applyBorder="1" applyAlignment="1">
      <alignment vertical="top" wrapText="1"/>
    </xf>
    <xf numFmtId="164" fontId="4" fillId="0" borderId="7" xfId="0" applyNumberFormat="1" applyFont="1" applyBorder="1" applyAlignment="1">
      <alignment vertical="top" wrapText="1"/>
    </xf>
    <xf numFmtId="164" fontId="4" fillId="0" borderId="9" xfId="0" applyNumberFormat="1" applyFont="1" applyBorder="1" applyAlignment="1">
      <alignment vertical="top" wrapText="1"/>
    </xf>
    <xf numFmtId="0" fontId="4" fillId="3" borderId="4" xfId="0" applyFont="1" applyFill="1" applyBorder="1" applyAlignment="1">
      <alignment vertical="top" wrapText="1"/>
    </xf>
    <xf numFmtId="0" fontId="4" fillId="3" borderId="5" xfId="0" applyFont="1" applyFill="1" applyBorder="1" applyAlignment="1">
      <alignment vertical="top" wrapText="1"/>
    </xf>
    <xf numFmtId="0" fontId="4" fillId="3" borderId="6" xfId="0" applyFont="1" applyFill="1" applyBorder="1" applyAlignment="1">
      <alignment vertical="top"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4" fillId="0" borderId="5" xfId="0" applyFont="1" applyBorder="1" applyAlignment="1">
      <alignment vertical="top" wrapText="1"/>
    </xf>
    <xf numFmtId="0" fontId="4" fillId="0" borderId="0" xfId="0" applyFont="1" applyAlignment="1">
      <alignment vertical="top" wrapText="1"/>
    </xf>
    <xf numFmtId="0" fontId="4" fillId="0" borderId="10" xfId="0" applyFont="1" applyBorder="1" applyAlignment="1">
      <alignment vertical="top" wrapText="1"/>
    </xf>
    <xf numFmtId="0" fontId="1" fillId="8" borderId="15" xfId="0" applyFont="1" applyFill="1" applyBorder="1" applyAlignment="1">
      <alignment vertical="top" wrapText="1"/>
    </xf>
    <xf numFmtId="0" fontId="4" fillId="7" borderId="9" xfId="0" applyFont="1" applyFill="1" applyBorder="1" applyAlignment="1">
      <alignment vertical="top" wrapText="1"/>
    </xf>
    <xf numFmtId="0" fontId="4" fillId="7" borderId="10" xfId="0" applyFont="1" applyFill="1" applyBorder="1" applyAlignment="1">
      <alignment vertical="top" wrapText="1"/>
    </xf>
    <xf numFmtId="0" fontId="4" fillId="7" borderId="11" xfId="0" applyFont="1" applyFill="1" applyBorder="1" applyAlignment="1">
      <alignment vertical="top" wrapText="1"/>
    </xf>
    <xf numFmtId="164" fontId="4" fillId="0" borderId="5" xfId="0" applyNumberFormat="1" applyFont="1" applyBorder="1" applyAlignment="1">
      <alignment vertical="top" wrapText="1"/>
    </xf>
    <xf numFmtId="164" fontId="4" fillId="0" borderId="0" xfId="0" applyNumberFormat="1" applyFont="1" applyAlignment="1">
      <alignment vertical="top" wrapText="1"/>
    </xf>
    <xf numFmtId="164" fontId="4" fillId="0" borderId="10" xfId="0" applyNumberFormat="1" applyFont="1" applyBorder="1" applyAlignment="1">
      <alignment vertical="top" wrapText="1"/>
    </xf>
    <xf numFmtId="1" fontId="4" fillId="0" borderId="5" xfId="0" applyNumberFormat="1" applyFont="1" applyBorder="1" applyAlignment="1">
      <alignment vertical="top" wrapText="1"/>
    </xf>
    <xf numFmtId="1" fontId="4" fillId="3" borderId="5" xfId="0" applyNumberFormat="1" applyFont="1" applyFill="1" applyBorder="1" applyAlignment="1">
      <alignment vertical="top" wrapText="1"/>
    </xf>
    <xf numFmtId="1" fontId="4" fillId="0" borderId="6" xfId="0" applyNumberFormat="1" applyFont="1" applyBorder="1" applyAlignment="1">
      <alignment vertical="top" wrapText="1"/>
    </xf>
    <xf numFmtId="1" fontId="4" fillId="0" borderId="0" xfId="0" applyNumberFormat="1" applyFont="1" applyAlignment="1">
      <alignment vertical="top" wrapText="1"/>
    </xf>
    <xf numFmtId="1" fontId="4" fillId="3" borderId="0" xfId="0" applyNumberFormat="1" applyFont="1" applyFill="1" applyAlignment="1">
      <alignment vertical="top" wrapText="1"/>
    </xf>
    <xf numFmtId="1" fontId="4" fillId="0" borderId="8" xfId="0" applyNumberFormat="1" applyFont="1" applyBorder="1" applyAlignment="1">
      <alignment vertical="top" wrapText="1"/>
    </xf>
    <xf numFmtId="1" fontId="4" fillId="0" borderId="10" xfId="0" applyNumberFormat="1" applyFont="1" applyBorder="1" applyAlignment="1">
      <alignment vertical="top" wrapText="1"/>
    </xf>
    <xf numFmtId="1" fontId="4" fillId="3" borderId="10" xfId="0" applyNumberFormat="1" applyFont="1" applyFill="1" applyBorder="1" applyAlignment="1">
      <alignment vertical="top" wrapText="1"/>
    </xf>
    <xf numFmtId="1" fontId="4" fillId="0" borderId="11" xfId="0" applyNumberFormat="1" applyFont="1" applyBorder="1" applyAlignment="1">
      <alignment vertical="top" wrapText="1"/>
    </xf>
    <xf numFmtId="0" fontId="1" fillId="9" borderId="12"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9" borderId="14" xfId="0" applyFont="1" applyFill="1" applyBorder="1" applyAlignment="1">
      <alignment horizontal="center" vertical="center" wrapText="1"/>
    </xf>
    <xf numFmtId="0" fontId="1" fillId="13" borderId="12" xfId="0" applyFont="1" applyFill="1" applyBorder="1" applyAlignment="1">
      <alignment horizontal="center" vertical="center" wrapText="1"/>
    </xf>
    <xf numFmtId="0" fontId="1" fillId="13" borderId="13" xfId="0" applyFont="1" applyFill="1" applyBorder="1" applyAlignment="1">
      <alignment horizontal="center" vertical="center" wrapText="1"/>
    </xf>
    <xf numFmtId="0" fontId="1" fillId="13" borderId="14"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2" fillId="3" borderId="0" xfId="0" applyFont="1" applyFill="1" applyAlignment="1">
      <alignment horizontal="center" vertical="center"/>
    </xf>
    <xf numFmtId="0" fontId="4" fillId="0" borderId="0" xfId="0" applyFont="1" applyAlignment="1">
      <alignment horizontal="center" vertical="center" wrapText="1"/>
    </xf>
    <xf numFmtId="0" fontId="1" fillId="5" borderId="0" xfId="0" applyFont="1" applyFill="1" applyAlignment="1">
      <alignment horizontal="left" vertical="center"/>
    </xf>
    <xf numFmtId="0" fontId="1" fillId="2" borderId="0" xfId="0" applyFont="1" applyFill="1" applyAlignment="1">
      <alignment horizontal="left" vertical="center"/>
    </xf>
    <xf numFmtId="0" fontId="4" fillId="11" borderId="4" xfId="0" applyFont="1" applyFill="1" applyBorder="1" applyAlignment="1">
      <alignment vertical="top" wrapText="1"/>
    </xf>
    <xf numFmtId="0" fontId="4" fillId="11" borderId="5" xfId="0" applyFont="1" applyFill="1" applyBorder="1" applyAlignment="1">
      <alignment vertical="top" wrapText="1"/>
    </xf>
    <xf numFmtId="0" fontId="4" fillId="11" borderId="6" xfId="0" applyFont="1" applyFill="1" applyBorder="1" applyAlignment="1">
      <alignment vertical="top" wrapText="1"/>
    </xf>
    <xf numFmtId="0" fontId="4" fillId="11" borderId="7" xfId="0" applyFont="1" applyFill="1" applyBorder="1" applyAlignment="1">
      <alignment vertical="top" wrapText="1"/>
    </xf>
    <xf numFmtId="0" fontId="4" fillId="11" borderId="0" xfId="0" applyFont="1" applyFill="1" applyAlignment="1">
      <alignment vertical="top" wrapText="1"/>
    </xf>
    <xf numFmtId="0" fontId="4" fillId="11" borderId="8" xfId="0" applyFont="1" applyFill="1" applyBorder="1" applyAlignment="1">
      <alignment vertical="top" wrapText="1"/>
    </xf>
    <xf numFmtId="0" fontId="4" fillId="11" borderId="9" xfId="0" applyFont="1" applyFill="1" applyBorder="1" applyAlignment="1">
      <alignment vertical="top" wrapText="1"/>
    </xf>
    <xf numFmtId="0" fontId="4" fillId="11" borderId="10" xfId="0" applyFont="1" applyFill="1" applyBorder="1" applyAlignment="1">
      <alignment vertical="top" wrapText="1"/>
    </xf>
    <xf numFmtId="0" fontId="4" fillId="11" borderId="11" xfId="0" applyFont="1" applyFill="1" applyBorder="1" applyAlignment="1">
      <alignment vertical="top" wrapText="1"/>
    </xf>
    <xf numFmtId="0" fontId="4" fillId="3" borderId="4" xfId="0" applyFont="1" applyFill="1" applyBorder="1" applyAlignment="1">
      <alignment vertical="top" wrapText="1"/>
    </xf>
    <xf numFmtId="0" fontId="4" fillId="3" borderId="5" xfId="0" applyFont="1" applyFill="1" applyBorder="1" applyAlignment="1">
      <alignment vertical="top" wrapText="1"/>
    </xf>
    <xf numFmtId="0" fontId="4" fillId="3" borderId="6" xfId="0" applyFont="1" applyFill="1" applyBorder="1" applyAlignment="1">
      <alignment vertical="top" wrapText="1"/>
    </xf>
    <xf numFmtId="0" fontId="4" fillId="3" borderId="7" xfId="0" applyFont="1" applyFill="1" applyBorder="1" applyAlignment="1">
      <alignment vertical="top" wrapText="1"/>
    </xf>
    <xf numFmtId="0" fontId="4" fillId="3" borderId="0" xfId="0" applyFont="1" applyFill="1" applyAlignment="1">
      <alignment vertical="top" wrapText="1"/>
    </xf>
    <xf numFmtId="0" fontId="4" fillId="3" borderId="8" xfId="0" applyFont="1" applyFill="1" applyBorder="1" applyAlignment="1">
      <alignment vertical="top" wrapText="1"/>
    </xf>
    <xf numFmtId="0" fontId="4" fillId="3" borderId="9" xfId="0" applyFont="1" applyFill="1" applyBorder="1" applyAlignment="1">
      <alignment vertical="top" wrapText="1"/>
    </xf>
    <xf numFmtId="0" fontId="4" fillId="3" borderId="10" xfId="0" applyFont="1" applyFill="1" applyBorder="1" applyAlignment="1">
      <alignment vertical="top" wrapText="1"/>
    </xf>
    <xf numFmtId="0" fontId="4" fillId="3" borderId="11" xfId="0" applyFont="1" applyFill="1" applyBorder="1" applyAlignment="1">
      <alignment vertical="top" wrapText="1"/>
    </xf>
    <xf numFmtId="0" fontId="5" fillId="7" borderId="0" xfId="0" applyFont="1" applyFill="1" applyAlignment="1">
      <alignment horizontal="left" vertical="center"/>
    </xf>
    <xf numFmtId="0" fontId="4" fillId="12" borderId="4" xfId="0" applyFont="1" applyFill="1" applyBorder="1" applyAlignment="1">
      <alignment vertical="top" wrapText="1"/>
    </xf>
    <xf numFmtId="0" fontId="4" fillId="12" borderId="5" xfId="0" applyFont="1" applyFill="1" applyBorder="1" applyAlignment="1">
      <alignment vertical="top" wrapText="1"/>
    </xf>
    <xf numFmtId="0" fontId="4" fillId="12" borderId="6" xfId="0" applyFont="1" applyFill="1" applyBorder="1" applyAlignment="1">
      <alignment vertical="top" wrapText="1"/>
    </xf>
    <xf numFmtId="0" fontId="4" fillId="12" borderId="7" xfId="0" applyFont="1" applyFill="1" applyBorder="1" applyAlignment="1">
      <alignment vertical="top" wrapText="1"/>
    </xf>
    <xf numFmtId="0" fontId="4" fillId="12" borderId="0" xfId="0" applyFont="1" applyFill="1" applyAlignment="1">
      <alignment vertical="top" wrapText="1"/>
    </xf>
    <xf numFmtId="0" fontId="4" fillId="12" borderId="8" xfId="0" applyFont="1" applyFill="1" applyBorder="1" applyAlignment="1">
      <alignment vertical="top" wrapText="1"/>
    </xf>
    <xf numFmtId="0" fontId="4" fillId="12" borderId="9" xfId="0" applyFont="1" applyFill="1" applyBorder="1" applyAlignment="1">
      <alignment vertical="top" wrapText="1"/>
    </xf>
    <xf numFmtId="0" fontId="4" fillId="12" borderId="10" xfId="0" applyFont="1" applyFill="1" applyBorder="1" applyAlignment="1">
      <alignment vertical="top" wrapText="1"/>
    </xf>
    <xf numFmtId="0" fontId="4" fillId="12" borderId="11" xfId="0" applyFont="1" applyFill="1" applyBorder="1" applyAlignment="1">
      <alignment vertical="top" wrapText="1"/>
    </xf>
    <xf numFmtId="0" fontId="5" fillId="7" borderId="0" xfId="0" applyFont="1" applyFill="1"/>
    <xf numFmtId="0" fontId="4" fillId="6" borderId="4" xfId="0" applyFont="1" applyFill="1" applyBorder="1" applyAlignment="1">
      <alignment vertical="top" wrapText="1"/>
    </xf>
    <xf numFmtId="0" fontId="4" fillId="6" borderId="5" xfId="0" applyFont="1" applyFill="1" applyBorder="1" applyAlignment="1">
      <alignment vertical="top" wrapText="1"/>
    </xf>
    <xf numFmtId="0" fontId="4" fillId="6" borderId="6" xfId="0" applyFont="1" applyFill="1" applyBorder="1" applyAlignment="1">
      <alignment vertical="top" wrapText="1"/>
    </xf>
    <xf numFmtId="0" fontId="4" fillId="6" borderId="7" xfId="0" applyFont="1" applyFill="1" applyBorder="1" applyAlignment="1">
      <alignment vertical="top" wrapText="1"/>
    </xf>
    <xf numFmtId="0" fontId="4" fillId="6" borderId="0" xfId="0" applyFont="1" applyFill="1" applyAlignment="1">
      <alignment vertical="top" wrapText="1"/>
    </xf>
    <xf numFmtId="0" fontId="4" fillId="6" borderId="8" xfId="0" applyFont="1" applyFill="1" applyBorder="1" applyAlignment="1">
      <alignment vertical="top" wrapText="1"/>
    </xf>
    <xf numFmtId="0" fontId="4" fillId="6" borderId="9" xfId="0" applyFont="1" applyFill="1" applyBorder="1" applyAlignment="1">
      <alignment vertical="top" wrapText="1"/>
    </xf>
    <xf numFmtId="0" fontId="4" fillId="6" borderId="10" xfId="0" applyFont="1" applyFill="1" applyBorder="1" applyAlignment="1">
      <alignment vertical="top" wrapText="1"/>
    </xf>
    <xf numFmtId="0" fontId="4" fillId="6" borderId="11" xfId="0" applyFont="1" applyFill="1" applyBorder="1" applyAlignment="1">
      <alignment vertical="top" wrapText="1"/>
    </xf>
    <xf numFmtId="0" fontId="1" fillId="9" borderId="0" xfId="0" applyFont="1" applyFill="1" applyAlignment="1">
      <alignment horizontal="left" vertical="center"/>
    </xf>
    <xf numFmtId="0" fontId="5" fillId="10" borderId="0" xfId="0" applyFont="1" applyFill="1" applyAlignment="1">
      <alignment wrapText="1"/>
    </xf>
    <xf numFmtId="0" fontId="1" fillId="13" borderId="0" xfId="0" applyFont="1" applyFill="1" applyAlignment="1">
      <alignment horizontal="left" vertical="center"/>
    </xf>
    <xf numFmtId="0" fontId="5" fillId="14" borderId="0" xfId="0" applyFont="1" applyFill="1" applyAlignment="1">
      <alignment wrapText="1"/>
    </xf>
  </cellXfs>
  <cellStyles count="1">
    <cellStyle name="Normal" xfId="0" builtinId="0"/>
  </cellStyles>
  <dxfs count="21">
    <dxf>
      <font>
        <b/>
        <color rgb="FF92400E"/>
      </font>
      <fill>
        <patternFill patternType="solid">
          <bgColor rgb="FFFEF3C7"/>
        </patternFill>
      </fill>
    </dxf>
    <dxf>
      <font>
        <b/>
        <color rgb="FFDC2626"/>
      </font>
      <fill>
        <patternFill patternType="solid">
          <bgColor rgb="FFFEE2E2"/>
        </patternFill>
      </fill>
    </dxf>
    <dxf>
      <font>
        <b/>
        <color rgb="FF16A34A"/>
      </font>
      <fill>
        <patternFill patternType="solid">
          <bgColor rgb="FFDCFCE7"/>
        </patternFill>
      </fill>
    </dxf>
    <dxf>
      <font>
        <b/>
        <color rgb="FF92400E"/>
      </font>
      <fill>
        <patternFill>
          <bgColor rgb="FFFEF3C7"/>
        </patternFill>
      </fill>
    </dxf>
    <dxf>
      <font>
        <b/>
        <color rgb="FF92400E"/>
      </font>
      <fill>
        <patternFill>
          <bgColor rgb="FFFEF3C7"/>
        </patternFill>
      </fill>
    </dxf>
    <dxf>
      <font>
        <b/>
        <color rgb="FF64748B"/>
      </font>
      <fill>
        <patternFill>
          <bgColor rgb="FFF1F5F9"/>
        </patternFill>
      </fill>
    </dxf>
    <dxf>
      <font>
        <b/>
        <color rgb="FFDC2626"/>
      </font>
      <fill>
        <patternFill>
          <bgColor rgb="FFFEE2E2"/>
        </patternFill>
      </fill>
    </dxf>
    <dxf>
      <font>
        <b/>
        <color rgb="FF92400E"/>
      </font>
      <fill>
        <patternFill>
          <bgColor rgb="FFFEF3C7"/>
        </patternFill>
      </fill>
    </dxf>
    <dxf>
      <font>
        <b/>
        <color rgb="FF16A34A"/>
      </font>
      <fill>
        <patternFill>
          <bgColor rgb="FFDCFCE7"/>
        </patternFill>
      </fill>
    </dxf>
    <dxf>
      <font>
        <b/>
        <color rgb="FF16A34A"/>
      </font>
      <fill>
        <patternFill>
          <bgColor rgb="FFDCFCE7"/>
        </patternFill>
      </fill>
    </dxf>
    <dxf>
      <font>
        <b/>
        <color rgb="FF92400E"/>
      </font>
      <fill>
        <patternFill>
          <bgColor rgb="FFFEF3C7"/>
        </patternFill>
      </fill>
    </dxf>
    <dxf>
      <font>
        <b/>
        <color rgb="FFDC2626"/>
      </font>
      <fill>
        <patternFill>
          <bgColor rgb="FFFEE2E2"/>
        </patternFill>
      </fill>
    </dxf>
    <dxf>
      <font>
        <b/>
        <color rgb="FF16A34A"/>
      </font>
      <fill>
        <patternFill>
          <bgColor rgb="FFDCFCE7"/>
        </patternFill>
      </fill>
    </dxf>
    <dxf>
      <font>
        <b/>
        <color rgb="FF92400E"/>
      </font>
      <fill>
        <patternFill>
          <bgColor rgb="FFFEF3C7"/>
        </patternFill>
      </fill>
    </dxf>
    <dxf>
      <font>
        <b/>
        <color rgb="FFDC2626"/>
      </font>
      <fill>
        <patternFill>
          <bgColor rgb="FFFEE2E2"/>
        </patternFill>
      </fill>
    </dxf>
    <dxf>
      <font>
        <b/>
        <color rgb="FFDC2626"/>
      </font>
      <fill>
        <patternFill patternType="solid">
          <bgColor rgb="FFFEE2E2"/>
        </patternFill>
      </fill>
    </dxf>
    <dxf>
      <font>
        <b/>
        <color rgb="FF92400E"/>
      </font>
      <fill>
        <patternFill patternType="solid">
          <bgColor rgb="FFFEF3C7"/>
        </patternFill>
      </fill>
    </dxf>
    <dxf>
      <font>
        <b/>
        <color rgb="FF16A34A"/>
      </font>
      <fill>
        <patternFill patternType="solid">
          <bgColor rgb="FFDCFCE7"/>
        </patternFill>
      </fill>
    </dxf>
    <dxf>
      <font>
        <b/>
        <color rgb="FFDC2626"/>
      </font>
      <fill>
        <patternFill>
          <bgColor rgb="FFFEE2E2"/>
        </patternFill>
      </fill>
    </dxf>
    <dxf>
      <font>
        <b/>
        <color rgb="FF92400E"/>
      </font>
      <fill>
        <patternFill>
          <bgColor rgb="FFFEF3C7"/>
        </patternFill>
      </fill>
    </dxf>
    <dxf>
      <font>
        <b/>
        <color rgb="FF16A34A"/>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Burnup - Idéal / Réel / Scope</a:t>
            </a:r>
          </a:p>
        </c:rich>
      </c:tx>
      <c:overlay val="0"/>
    </c:title>
    <c:autoTitleDeleted val="0"/>
    <c:plotArea>
      <c:layout/>
      <c:lineChart>
        <c:grouping val="standard"/>
        <c:varyColors val="0"/>
        <c:ser>
          <c:idx val="0"/>
          <c:order val="0"/>
          <c:tx>
            <c:v>SP planifiés
sur le sprint</c:v>
          </c:tx>
          <c:cat>
            <c:strRef>
              <c:f>'03_Burnup'!$B$6:$B$13</c:f>
              <c:strCache>
                <c:ptCount val="8"/>
                <c:pt idx="0">
                  <c:v>Lun 13h30</c:v>
                </c:pt>
                <c:pt idx="1">
                  <c:v>Lun 18h</c:v>
                </c:pt>
                <c:pt idx="2">
                  <c:v>Mar 12h30</c:v>
                </c:pt>
                <c:pt idx="3">
                  <c:v>Mar 18h</c:v>
                </c:pt>
                <c:pt idx="4">
                  <c:v>Mer 12h30</c:v>
                </c:pt>
                <c:pt idx="5">
                  <c:v>Mer 18h</c:v>
                </c:pt>
                <c:pt idx="6">
                  <c:v>Jeu 12h30</c:v>
                </c:pt>
                <c:pt idx="7">
                  <c:v>Jeu 17h</c:v>
                </c:pt>
              </c:strCache>
            </c:strRef>
          </c:cat>
          <c:val>
            <c:numRef>
              <c:f>'03_Burnup'!$C$6:$C$13</c:f>
              <c:numCache>
                <c:formatCode>0</c:formatCode>
                <c:ptCount val="8"/>
                <c:pt idx="0">
                  <c:v>0</c:v>
                </c:pt>
                <c:pt idx="1">
                  <c:v>8</c:v>
                </c:pt>
                <c:pt idx="2">
                  <c:v>8</c:v>
                </c:pt>
                <c:pt idx="3">
                  <c:v>9</c:v>
                </c:pt>
                <c:pt idx="4">
                  <c:v>13</c:v>
                </c:pt>
                <c:pt idx="5">
                  <c:v>8</c:v>
                </c:pt>
                <c:pt idx="6">
                  <c:v>13</c:v>
                </c:pt>
                <c:pt idx="7">
                  <c:v>8</c:v>
                </c:pt>
              </c:numCache>
            </c:numRef>
          </c:val>
          <c:smooth val="0"/>
          <c:extLst>
            <c:ext xmlns:c16="http://schemas.microsoft.com/office/drawing/2014/chart" uri="{C3380CC4-5D6E-409C-BE32-E72D297353CC}">
              <c16:uniqueId val="{00000000-F942-4E5C-BA60-39F6CC82D910}"/>
            </c:ext>
          </c:extLst>
        </c:ser>
        <c:ser>
          <c:idx val="1"/>
          <c:order val="1"/>
          <c:tx>
            <c:v>SP livrés cumulés
(idéal)</c:v>
          </c:tx>
          <c:cat>
            <c:strRef>
              <c:f>'03_Burnup'!$B$6:$B$13</c:f>
              <c:strCache>
                <c:ptCount val="8"/>
                <c:pt idx="0">
                  <c:v>Lun 13h30</c:v>
                </c:pt>
                <c:pt idx="1">
                  <c:v>Lun 18h</c:v>
                </c:pt>
                <c:pt idx="2">
                  <c:v>Mar 12h30</c:v>
                </c:pt>
                <c:pt idx="3">
                  <c:v>Mar 18h</c:v>
                </c:pt>
                <c:pt idx="4">
                  <c:v>Mer 12h30</c:v>
                </c:pt>
                <c:pt idx="5">
                  <c:v>Mer 18h</c:v>
                </c:pt>
                <c:pt idx="6">
                  <c:v>Jeu 12h30</c:v>
                </c:pt>
                <c:pt idx="7">
                  <c:v>Jeu 17h</c:v>
                </c:pt>
              </c:strCache>
            </c:strRef>
          </c:cat>
          <c:val>
            <c:numRef>
              <c:f>'03_Burnup'!$D$6:$D$13</c:f>
              <c:numCache>
                <c:formatCode>0</c:formatCode>
                <c:ptCount val="8"/>
                <c:pt idx="0">
                  <c:v>0</c:v>
                </c:pt>
                <c:pt idx="1">
                  <c:v>8</c:v>
                </c:pt>
                <c:pt idx="2">
                  <c:v>16</c:v>
                </c:pt>
                <c:pt idx="3">
                  <c:v>25</c:v>
                </c:pt>
                <c:pt idx="4">
                  <c:v>38</c:v>
                </c:pt>
                <c:pt idx="5">
                  <c:v>46</c:v>
                </c:pt>
                <c:pt idx="6">
                  <c:v>59</c:v>
                </c:pt>
                <c:pt idx="7">
                  <c:v>67</c:v>
                </c:pt>
              </c:numCache>
            </c:numRef>
          </c:val>
          <c:smooth val="0"/>
          <c:extLst>
            <c:ext xmlns:c16="http://schemas.microsoft.com/office/drawing/2014/chart" uri="{C3380CC4-5D6E-409C-BE32-E72D297353CC}">
              <c16:uniqueId val="{00000001-F942-4E5C-BA60-39F6CC82D910}"/>
            </c:ext>
          </c:extLst>
        </c:ser>
        <c:ser>
          <c:idx val="2"/>
          <c:order val="2"/>
          <c:tx>
            <c:v>SP livrés cumulés
(réel)</c:v>
          </c:tx>
          <c:cat>
            <c:strRef>
              <c:f>'03_Burnup'!$B$6:$B$13</c:f>
              <c:strCache>
                <c:ptCount val="8"/>
                <c:pt idx="0">
                  <c:v>Lun 13h30</c:v>
                </c:pt>
                <c:pt idx="1">
                  <c:v>Lun 18h</c:v>
                </c:pt>
                <c:pt idx="2">
                  <c:v>Mar 12h30</c:v>
                </c:pt>
                <c:pt idx="3">
                  <c:v>Mar 18h</c:v>
                </c:pt>
                <c:pt idx="4">
                  <c:v>Mer 12h30</c:v>
                </c:pt>
                <c:pt idx="5">
                  <c:v>Mer 18h</c:v>
                </c:pt>
                <c:pt idx="6">
                  <c:v>Jeu 12h30</c:v>
                </c:pt>
                <c:pt idx="7">
                  <c:v>Jeu 17h</c:v>
                </c:pt>
              </c:strCache>
            </c:strRef>
          </c:cat>
          <c:val>
            <c:numRef>
              <c:f>'03_Burnup'!$E$6:$E$13</c:f>
              <c:numCache>
                <c:formatCode>0</c:formatCode>
                <c:ptCount val="8"/>
                <c:pt idx="0">
                  <c:v>0</c:v>
                </c:pt>
              </c:numCache>
            </c:numRef>
          </c:val>
          <c:smooth val="0"/>
          <c:extLst>
            <c:ext xmlns:c16="http://schemas.microsoft.com/office/drawing/2014/chart" uri="{C3380CC4-5D6E-409C-BE32-E72D297353CC}">
              <c16:uniqueId val="{00000002-F942-4E5C-BA60-39F6CC82D910}"/>
            </c:ext>
          </c:extLst>
        </c:ser>
        <c:ser>
          <c:idx val="3"/>
          <c:order val="3"/>
          <c:tx>
            <c:v>Scope total</c:v>
          </c:tx>
          <c:cat>
            <c:strRef>
              <c:f>'03_Burnup'!$B$6:$B$13</c:f>
              <c:strCache>
                <c:ptCount val="8"/>
                <c:pt idx="0">
                  <c:v>Lun 13h30</c:v>
                </c:pt>
                <c:pt idx="1">
                  <c:v>Lun 18h</c:v>
                </c:pt>
                <c:pt idx="2">
                  <c:v>Mar 12h30</c:v>
                </c:pt>
                <c:pt idx="3">
                  <c:v>Mar 18h</c:v>
                </c:pt>
                <c:pt idx="4">
                  <c:v>Mer 12h30</c:v>
                </c:pt>
                <c:pt idx="5">
                  <c:v>Mer 18h</c:v>
                </c:pt>
                <c:pt idx="6">
                  <c:v>Jeu 12h30</c:v>
                </c:pt>
                <c:pt idx="7">
                  <c:v>Jeu 17h</c:v>
                </c:pt>
              </c:strCache>
            </c:strRef>
          </c:cat>
          <c:val>
            <c:numRef>
              <c:f>'03_Burnup'!$F$6:$F$13</c:f>
              <c:numCache>
                <c:formatCode>0</c:formatCode>
                <c:ptCount val="8"/>
                <c:pt idx="0">
                  <c:v>67</c:v>
                </c:pt>
                <c:pt idx="1">
                  <c:v>67</c:v>
                </c:pt>
                <c:pt idx="2">
                  <c:v>67</c:v>
                </c:pt>
                <c:pt idx="3">
                  <c:v>67</c:v>
                </c:pt>
                <c:pt idx="4">
                  <c:v>67</c:v>
                </c:pt>
                <c:pt idx="5">
                  <c:v>67</c:v>
                </c:pt>
                <c:pt idx="6">
                  <c:v>67</c:v>
                </c:pt>
                <c:pt idx="7">
                  <c:v>67</c:v>
                </c:pt>
              </c:numCache>
            </c:numRef>
          </c:val>
          <c:smooth val="0"/>
          <c:extLst>
            <c:ext xmlns:c16="http://schemas.microsoft.com/office/drawing/2014/chart" uri="{C3380CC4-5D6E-409C-BE32-E72D297353CC}">
              <c16:uniqueId val="{00000003-F942-4E5C-BA60-39F6CC82D91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0</xdr:rowOff>
    </xdr:from>
    <xdr:to>
      <xdr:col>16</xdr:col>
      <xdr:colOff>0</xdr:colOff>
      <xdr:row>20</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1"/>
  <sheetViews>
    <sheetView workbookViewId="0"/>
  </sheetViews>
  <sheetFormatPr baseColWidth="10" defaultColWidth="9" defaultRowHeight="14.25"/>
  <cols>
    <col min="1" max="1" width="3" customWidth="1"/>
    <col min="2" max="8" width="15" customWidth="1"/>
  </cols>
  <sheetData>
    <row r="1" spans="2:8" ht="21.95" customHeight="1"/>
    <row r="2" spans="2:8" ht="21.95" customHeight="1"/>
    <row r="3" spans="2:8" ht="21.95" customHeight="1">
      <c r="B3" s="49" t="s">
        <v>0</v>
      </c>
      <c r="C3" s="49"/>
      <c r="D3" s="49"/>
      <c r="E3" s="49"/>
      <c r="F3" s="49"/>
      <c r="G3" s="49"/>
      <c r="H3" s="49"/>
    </row>
    <row r="4" spans="2:8" ht="21.95" customHeight="1">
      <c r="B4" s="49"/>
      <c r="C4" s="49"/>
      <c r="D4" s="49"/>
      <c r="E4" s="49"/>
      <c r="F4" s="49"/>
      <c r="G4" s="49"/>
      <c r="H4" s="49"/>
    </row>
    <row r="5" spans="2:8" ht="21.95" customHeight="1">
      <c r="B5" s="49"/>
      <c r="C5" s="49"/>
      <c r="D5" s="49"/>
      <c r="E5" s="49"/>
      <c r="F5" s="49"/>
      <c r="G5" s="49"/>
      <c r="H5" s="49"/>
    </row>
    <row r="6" spans="2:8" ht="21.95" customHeight="1"/>
    <row r="7" spans="2:8" ht="21.95" customHeight="1">
      <c r="B7" s="50" t="s">
        <v>1</v>
      </c>
      <c r="C7" s="50"/>
      <c r="D7" s="50"/>
      <c r="E7" s="50"/>
      <c r="F7" s="50"/>
      <c r="G7" s="50"/>
      <c r="H7" s="50"/>
    </row>
    <row r="8" spans="2:8" ht="21.95" customHeight="1">
      <c r="B8" s="50"/>
      <c r="C8" s="50"/>
      <c r="D8" s="50"/>
      <c r="E8" s="50"/>
      <c r="F8" s="50"/>
      <c r="G8" s="50"/>
      <c r="H8" s="50"/>
    </row>
    <row r="9" spans="2:8" ht="21.95" customHeight="1">
      <c r="B9" s="51" t="s">
        <v>45</v>
      </c>
      <c r="C9" s="51" t="s">
        <v>45</v>
      </c>
      <c r="D9" s="51" t="s">
        <v>45</v>
      </c>
      <c r="E9" s="51" t="s">
        <v>45</v>
      </c>
      <c r="F9" s="51" t="s">
        <v>45</v>
      </c>
      <c r="G9" s="51" t="s">
        <v>45</v>
      </c>
      <c r="H9" s="51" t="s">
        <v>45</v>
      </c>
    </row>
    <row r="10" spans="2:8" ht="21.95" customHeight="1">
      <c r="B10" s="51" t="s">
        <v>45</v>
      </c>
      <c r="C10" s="51" t="s">
        <v>45</v>
      </c>
      <c r="D10" s="51" t="s">
        <v>45</v>
      </c>
      <c r="E10" s="51" t="s">
        <v>45</v>
      </c>
      <c r="F10" s="51" t="s">
        <v>45</v>
      </c>
      <c r="G10" s="51" t="s">
        <v>45</v>
      </c>
      <c r="H10" s="51" t="s">
        <v>45</v>
      </c>
    </row>
    <row r="11" spans="2:8" ht="21.95" customHeight="1"/>
    <row r="12" spans="2:8" ht="21.95" customHeight="1">
      <c r="B12" s="52" t="s">
        <v>46</v>
      </c>
      <c r="C12" s="52" t="s">
        <v>46</v>
      </c>
      <c r="D12" s="52" t="s">
        <v>46</v>
      </c>
      <c r="E12" s="52" t="s">
        <v>46</v>
      </c>
      <c r="F12" s="52" t="s">
        <v>46</v>
      </c>
      <c r="G12" s="52" t="s">
        <v>46</v>
      </c>
      <c r="H12" s="52" t="s">
        <v>46</v>
      </c>
    </row>
    <row r="13" spans="2:8" ht="21.95" customHeight="1"/>
    <row r="14" spans="2:8" ht="21.95" customHeight="1"/>
    <row r="15" spans="2:8" ht="21.95" customHeight="1">
      <c r="B15" s="53" t="s">
        <v>47</v>
      </c>
      <c r="C15" s="53" t="s">
        <v>47</v>
      </c>
      <c r="D15" s="53" t="s">
        <v>47</v>
      </c>
      <c r="E15" s="53" t="s">
        <v>47</v>
      </c>
      <c r="F15" s="53" t="s">
        <v>47</v>
      </c>
      <c r="G15" s="53" t="s">
        <v>47</v>
      </c>
      <c r="H15" s="53" t="s">
        <v>47</v>
      </c>
    </row>
    <row r="16" spans="2:8" ht="21.95" customHeight="1">
      <c r="B16" s="53" t="s">
        <v>47</v>
      </c>
      <c r="C16" s="53" t="s">
        <v>47</v>
      </c>
      <c r="D16" s="53" t="s">
        <v>47</v>
      </c>
      <c r="E16" s="53" t="s">
        <v>47</v>
      </c>
      <c r="F16" s="53" t="s">
        <v>47</v>
      </c>
      <c r="G16" s="53" t="s">
        <v>47</v>
      </c>
      <c r="H16" s="53" t="s">
        <v>47</v>
      </c>
    </row>
    <row r="17" spans="2:8" ht="21.95" customHeight="1">
      <c r="B17" s="53" t="s">
        <v>47</v>
      </c>
      <c r="C17" s="53" t="s">
        <v>47</v>
      </c>
      <c r="D17" s="53" t="s">
        <v>47</v>
      </c>
      <c r="E17" s="53" t="s">
        <v>47</v>
      </c>
      <c r="F17" s="53" t="s">
        <v>47</v>
      </c>
      <c r="G17" s="53" t="s">
        <v>47</v>
      </c>
      <c r="H17" s="53" t="s">
        <v>47</v>
      </c>
    </row>
    <row r="18" spans="2:8" ht="21.95" customHeight="1"/>
    <row r="19" spans="2:8" ht="21.95" customHeight="1"/>
    <row r="20" spans="2:8" ht="21.95" customHeight="1"/>
    <row r="21" spans="2:8" ht="21.95" customHeight="1"/>
  </sheetData>
  <mergeCells count="5">
    <mergeCell ref="B3:H5"/>
    <mergeCell ref="B7:H8"/>
    <mergeCell ref="B9:H10"/>
    <mergeCell ref="B12:H12"/>
    <mergeCell ref="B15: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topLeftCell="A9" workbookViewId="0">
      <selection sqref="A1:H2"/>
    </sheetView>
  </sheetViews>
  <sheetFormatPr baseColWidth="10" defaultColWidth="9" defaultRowHeight="14.25"/>
  <cols>
    <col min="1" max="1" width="25" customWidth="1"/>
    <col min="2" max="2" width="55" customWidth="1"/>
    <col min="3" max="4" width="12" customWidth="1"/>
    <col min="5" max="8" width="16" customWidth="1"/>
  </cols>
  <sheetData>
    <row r="1" spans="1:8">
      <c r="A1" s="55" t="s">
        <v>2</v>
      </c>
      <c r="B1" s="55"/>
      <c r="C1" s="55"/>
      <c r="D1" s="55"/>
      <c r="E1" s="55"/>
      <c r="F1" s="55"/>
      <c r="G1" s="55"/>
      <c r="H1" s="55"/>
    </row>
    <row r="2" spans="1:8">
      <c r="A2" s="55"/>
      <c r="B2" s="55"/>
      <c r="C2" s="55"/>
      <c r="D2" s="55"/>
      <c r="E2" s="55"/>
      <c r="F2" s="55"/>
      <c r="G2" s="55"/>
      <c r="H2" s="55"/>
    </row>
    <row r="4" spans="1:8" ht="30" customHeight="1">
      <c r="A4" s="1" t="s">
        <v>3</v>
      </c>
      <c r="B4" s="4" t="s">
        <v>4</v>
      </c>
    </row>
    <row r="5" spans="1:8" ht="30" customHeight="1">
      <c r="A5" s="2" t="s">
        <v>5</v>
      </c>
      <c r="B5" s="5" t="s">
        <v>6</v>
      </c>
    </row>
    <row r="6" spans="1:8" ht="30" customHeight="1">
      <c r="A6" s="2" t="s">
        <v>7</v>
      </c>
      <c r="B6" s="5" t="s">
        <v>48</v>
      </c>
    </row>
    <row r="7" spans="1:8" ht="30" customHeight="1">
      <c r="A7" s="2" t="s">
        <v>8</v>
      </c>
      <c r="B7" s="5" t="s">
        <v>49</v>
      </c>
    </row>
    <row r="8" spans="1:8" ht="30" customHeight="1">
      <c r="A8" s="2" t="s">
        <v>9</v>
      </c>
      <c r="B8" s="5" t="s">
        <v>50</v>
      </c>
    </row>
    <row r="9" spans="1:8" ht="30" customHeight="1">
      <c r="A9" s="3" t="s">
        <v>10</v>
      </c>
      <c r="B9" s="6" t="s">
        <v>51</v>
      </c>
    </row>
    <row r="11" spans="1:8" ht="15">
      <c r="A11" s="54" t="s">
        <v>52</v>
      </c>
      <c r="B11" s="54" t="s">
        <v>52</v>
      </c>
      <c r="C11" s="54" t="s">
        <v>52</v>
      </c>
      <c r="D11" s="54" t="s">
        <v>52</v>
      </c>
      <c r="E11" s="54" t="s">
        <v>52</v>
      </c>
      <c r="F11" s="54" t="s">
        <v>52</v>
      </c>
      <c r="G11" s="54" t="s">
        <v>52</v>
      </c>
      <c r="H11" s="54" t="s">
        <v>52</v>
      </c>
    </row>
    <row r="12" spans="1:8">
      <c r="A12" s="56" t="s">
        <v>53</v>
      </c>
      <c r="B12" s="57" t="s">
        <v>53</v>
      </c>
      <c r="C12" s="57" t="s">
        <v>53</v>
      </c>
      <c r="D12" s="57" t="s">
        <v>53</v>
      </c>
      <c r="E12" s="57" t="s">
        <v>53</v>
      </c>
      <c r="F12" s="57" t="s">
        <v>53</v>
      </c>
      <c r="G12" s="57" t="s">
        <v>53</v>
      </c>
      <c r="H12" s="58" t="s">
        <v>53</v>
      </c>
    </row>
    <row r="13" spans="1:8">
      <c r="A13" s="59" t="s">
        <v>53</v>
      </c>
      <c r="B13" s="60" t="s">
        <v>53</v>
      </c>
      <c r="C13" s="60" t="s">
        <v>53</v>
      </c>
      <c r="D13" s="60" t="s">
        <v>53</v>
      </c>
      <c r="E13" s="60" t="s">
        <v>53</v>
      </c>
      <c r="F13" s="60" t="s">
        <v>53</v>
      </c>
      <c r="G13" s="60" t="s">
        <v>53</v>
      </c>
      <c r="H13" s="61" t="s">
        <v>53</v>
      </c>
    </row>
    <row r="14" spans="1:8">
      <c r="A14" s="62" t="s">
        <v>53</v>
      </c>
      <c r="B14" s="63" t="s">
        <v>53</v>
      </c>
      <c r="C14" s="63" t="s">
        <v>53</v>
      </c>
      <c r="D14" s="63" t="s">
        <v>53</v>
      </c>
      <c r="E14" s="63" t="s">
        <v>53</v>
      </c>
      <c r="F14" s="63" t="s">
        <v>53</v>
      </c>
      <c r="G14" s="63" t="s">
        <v>53</v>
      </c>
      <c r="H14" s="64" t="s">
        <v>53</v>
      </c>
    </row>
    <row r="16" spans="1:8" ht="15">
      <c r="A16" s="54" t="s">
        <v>11</v>
      </c>
      <c r="B16" s="54"/>
      <c r="C16" s="54"/>
      <c r="D16" s="54"/>
      <c r="E16" s="54"/>
      <c r="F16" s="54"/>
      <c r="G16" s="54"/>
      <c r="H16" s="54"/>
    </row>
    <row r="17" spans="1:8" ht="15">
      <c r="A17" s="1" t="s">
        <v>54</v>
      </c>
      <c r="B17" s="15">
        <v>7</v>
      </c>
      <c r="C17" s="10" t="s">
        <v>55</v>
      </c>
      <c r="E17" s="65" t="s">
        <v>56</v>
      </c>
      <c r="F17" s="66" t="s">
        <v>56</v>
      </c>
      <c r="G17" s="66" t="s">
        <v>56</v>
      </c>
      <c r="H17" s="67" t="s">
        <v>56</v>
      </c>
    </row>
    <row r="18" spans="1:8" ht="30">
      <c r="A18" s="2" t="s">
        <v>57</v>
      </c>
      <c r="B18" s="16">
        <v>203</v>
      </c>
      <c r="C18" s="12" t="s">
        <v>58</v>
      </c>
      <c r="E18" s="68" t="s">
        <v>56</v>
      </c>
      <c r="F18" s="69" t="s">
        <v>56</v>
      </c>
      <c r="G18" s="69" t="s">
        <v>56</v>
      </c>
      <c r="H18" s="70" t="s">
        <v>56</v>
      </c>
    </row>
    <row r="19" spans="1:8" ht="15">
      <c r="A19" s="2" t="s">
        <v>59</v>
      </c>
      <c r="B19" s="16">
        <v>67</v>
      </c>
      <c r="C19" s="12" t="s">
        <v>60</v>
      </c>
      <c r="E19" s="68" t="s">
        <v>56</v>
      </c>
      <c r="F19" s="69" t="s">
        <v>56</v>
      </c>
      <c r="G19" s="69" t="s">
        <v>56</v>
      </c>
      <c r="H19" s="70" t="s">
        <v>56</v>
      </c>
    </row>
    <row r="20" spans="1:8" ht="15">
      <c r="A20" s="2" t="s">
        <v>61</v>
      </c>
      <c r="B20" s="16">
        <v>46</v>
      </c>
      <c r="C20" s="12" t="s">
        <v>60</v>
      </c>
      <c r="E20" s="68" t="s">
        <v>56</v>
      </c>
      <c r="F20" s="69" t="s">
        <v>56</v>
      </c>
      <c r="G20" s="69" t="s">
        <v>56</v>
      </c>
      <c r="H20" s="70" t="s">
        <v>56</v>
      </c>
    </row>
    <row r="21" spans="1:8" ht="15">
      <c r="A21" s="3" t="s">
        <v>62</v>
      </c>
      <c r="B21" s="17">
        <v>21</v>
      </c>
      <c r="C21" s="14" t="s">
        <v>60</v>
      </c>
      <c r="E21" s="71" t="s">
        <v>56</v>
      </c>
      <c r="F21" s="72" t="s">
        <v>56</v>
      </c>
      <c r="G21" s="72" t="s">
        <v>56</v>
      </c>
      <c r="H21" s="73" t="s">
        <v>56</v>
      </c>
    </row>
    <row r="23" spans="1:8" ht="15">
      <c r="A23" s="54" t="s">
        <v>12</v>
      </c>
      <c r="B23" s="54"/>
      <c r="C23" s="54"/>
      <c r="D23" s="54"/>
      <c r="E23" s="54"/>
      <c r="F23" s="54"/>
      <c r="G23" s="54"/>
      <c r="H23" s="54"/>
    </row>
    <row r="24" spans="1:8" ht="15">
      <c r="A24" s="1" t="s">
        <v>63</v>
      </c>
      <c r="B24" s="4" t="s">
        <v>64</v>
      </c>
    </row>
    <row r="25" spans="1:8" ht="15">
      <c r="A25" s="2" t="s">
        <v>65</v>
      </c>
      <c r="B25" s="5" t="s">
        <v>66</v>
      </c>
    </row>
    <row r="26" spans="1:8" ht="15">
      <c r="A26" s="2" t="s">
        <v>67</v>
      </c>
      <c r="B26" s="5" t="s">
        <v>68</v>
      </c>
    </row>
    <row r="27" spans="1:8" ht="15">
      <c r="A27" s="2" t="s">
        <v>69</v>
      </c>
      <c r="B27" s="5" t="s">
        <v>70</v>
      </c>
    </row>
    <row r="28" spans="1:8" ht="15">
      <c r="A28" s="3" t="s">
        <v>71</v>
      </c>
      <c r="B28" s="6" t="s">
        <v>72</v>
      </c>
    </row>
  </sheetData>
  <mergeCells count="6">
    <mergeCell ref="A23:H23"/>
    <mergeCell ref="A1:H2"/>
    <mergeCell ref="A11:H11"/>
    <mergeCell ref="A12:H14"/>
    <mergeCell ref="A16:H16"/>
    <mergeCell ref="E17:H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topLeftCell="A14" workbookViewId="0">
      <selection sqref="A1:H2"/>
    </sheetView>
  </sheetViews>
  <sheetFormatPr baseColWidth="10" defaultColWidth="9" defaultRowHeight="14.25"/>
  <cols>
    <col min="1" max="1" width="13" customWidth="1"/>
    <col min="2" max="2" width="14" customWidth="1"/>
    <col min="3" max="3" width="15" customWidth="1"/>
    <col min="4" max="4" width="12" customWidth="1"/>
    <col min="5" max="5" width="13" customWidth="1"/>
    <col min="6" max="6" width="45" customWidth="1"/>
    <col min="7" max="7" width="31" customWidth="1"/>
    <col min="8" max="8" width="28" customWidth="1"/>
  </cols>
  <sheetData>
    <row r="1" spans="1:8">
      <c r="A1" s="55" t="s">
        <v>73</v>
      </c>
      <c r="B1" s="55" t="s">
        <v>73</v>
      </c>
      <c r="C1" s="55" t="s">
        <v>73</v>
      </c>
      <c r="D1" s="55" t="s">
        <v>73</v>
      </c>
      <c r="E1" s="55" t="s">
        <v>73</v>
      </c>
      <c r="F1" s="55" t="s">
        <v>73</v>
      </c>
      <c r="G1" s="55" t="s">
        <v>73</v>
      </c>
      <c r="H1" s="55" t="s">
        <v>73</v>
      </c>
    </row>
    <row r="2" spans="1:8">
      <c r="A2" s="55" t="s">
        <v>73</v>
      </c>
      <c r="B2" s="55" t="s">
        <v>73</v>
      </c>
      <c r="C2" s="55" t="s">
        <v>73</v>
      </c>
      <c r="D2" s="55" t="s">
        <v>73</v>
      </c>
      <c r="E2" s="55" t="s">
        <v>73</v>
      </c>
      <c r="F2" s="55" t="s">
        <v>73</v>
      </c>
      <c r="G2" s="55" t="s">
        <v>73</v>
      </c>
      <c r="H2" s="55" t="s">
        <v>73</v>
      </c>
    </row>
    <row r="3" spans="1:8">
      <c r="A3" s="74" t="s">
        <v>74</v>
      </c>
      <c r="B3" s="74" t="s">
        <v>74</v>
      </c>
      <c r="C3" s="74" t="s">
        <v>74</v>
      </c>
      <c r="D3" s="74" t="s">
        <v>74</v>
      </c>
      <c r="E3" s="74" t="s">
        <v>74</v>
      </c>
      <c r="F3" s="74" t="s">
        <v>74</v>
      </c>
      <c r="G3" s="74" t="s">
        <v>74</v>
      </c>
      <c r="H3" s="74" t="s">
        <v>74</v>
      </c>
    </row>
    <row r="5" spans="1:8" ht="30">
      <c r="A5" s="21" t="s">
        <v>13</v>
      </c>
      <c r="B5" s="22" t="s">
        <v>14</v>
      </c>
      <c r="C5" s="22" t="s">
        <v>15</v>
      </c>
      <c r="D5" s="22" t="s">
        <v>16</v>
      </c>
      <c r="E5" s="22" t="s">
        <v>17</v>
      </c>
      <c r="F5" s="22" t="s">
        <v>18</v>
      </c>
      <c r="G5" s="22" t="s">
        <v>19</v>
      </c>
      <c r="H5" s="23" t="s">
        <v>20</v>
      </c>
    </row>
    <row r="6" spans="1:8" ht="72" customHeight="1">
      <c r="A6" s="18" t="s">
        <v>75</v>
      </c>
      <c r="B6" s="19" t="s">
        <v>76</v>
      </c>
      <c r="C6" s="19" t="s">
        <v>77</v>
      </c>
      <c r="D6" s="19">
        <v>24.5</v>
      </c>
      <c r="E6" s="19" t="s">
        <v>78</v>
      </c>
      <c r="F6" s="19" t="s">
        <v>79</v>
      </c>
      <c r="G6" s="19" t="s">
        <v>78</v>
      </c>
      <c r="H6" s="20" t="s">
        <v>80</v>
      </c>
    </row>
    <row r="7" spans="1:8" ht="72" customHeight="1">
      <c r="A7" s="11" t="s">
        <v>81</v>
      </c>
      <c r="B7" s="25" t="s">
        <v>82</v>
      </c>
      <c r="C7" s="25" t="s">
        <v>83</v>
      </c>
      <c r="D7" s="25">
        <v>28</v>
      </c>
      <c r="E7" s="25" t="s">
        <v>84</v>
      </c>
      <c r="F7" s="25" t="s">
        <v>85</v>
      </c>
      <c r="G7" s="25" t="s">
        <v>86</v>
      </c>
      <c r="H7" s="12" t="s">
        <v>87</v>
      </c>
    </row>
    <row r="8" spans="1:8" ht="72" customHeight="1">
      <c r="A8" s="11" t="s">
        <v>88</v>
      </c>
      <c r="B8" s="25" t="s">
        <v>89</v>
      </c>
      <c r="C8" s="25" t="s">
        <v>90</v>
      </c>
      <c r="D8" s="25">
        <v>24.5</v>
      </c>
      <c r="E8" s="25" t="s">
        <v>84</v>
      </c>
      <c r="F8" s="25" t="s">
        <v>91</v>
      </c>
      <c r="G8" s="25" t="s">
        <v>92</v>
      </c>
      <c r="H8" s="12" t="s">
        <v>93</v>
      </c>
    </row>
    <row r="9" spans="1:8" ht="72" customHeight="1">
      <c r="A9" s="11" t="s">
        <v>94</v>
      </c>
      <c r="B9" s="25" t="s">
        <v>95</v>
      </c>
      <c r="C9" s="25" t="s">
        <v>83</v>
      </c>
      <c r="D9" s="25">
        <v>28</v>
      </c>
      <c r="E9" s="25" t="s">
        <v>84</v>
      </c>
      <c r="F9" s="25" t="s">
        <v>96</v>
      </c>
      <c r="G9" s="25" t="s">
        <v>97</v>
      </c>
      <c r="H9" s="12" t="s">
        <v>87</v>
      </c>
    </row>
    <row r="10" spans="1:8" ht="72" customHeight="1">
      <c r="A10" s="11" t="s">
        <v>98</v>
      </c>
      <c r="B10" s="25" t="s">
        <v>99</v>
      </c>
      <c r="C10" s="25" t="s">
        <v>90</v>
      </c>
      <c r="D10" s="25">
        <v>24.5</v>
      </c>
      <c r="E10" s="25" t="s">
        <v>100</v>
      </c>
      <c r="F10" s="25" t="s">
        <v>101</v>
      </c>
      <c r="G10" s="25" t="s">
        <v>102</v>
      </c>
      <c r="H10" s="12" t="s">
        <v>103</v>
      </c>
    </row>
    <row r="11" spans="1:8" ht="72" customHeight="1">
      <c r="A11" s="7" t="s">
        <v>104</v>
      </c>
      <c r="B11" s="8" t="s">
        <v>105</v>
      </c>
      <c r="C11" s="8" t="s">
        <v>83</v>
      </c>
      <c r="D11" s="8">
        <v>28</v>
      </c>
      <c r="E11" s="8" t="s">
        <v>84</v>
      </c>
      <c r="F11" s="8" t="s">
        <v>106</v>
      </c>
      <c r="G11" s="8" t="s">
        <v>107</v>
      </c>
      <c r="H11" s="27" t="s">
        <v>108</v>
      </c>
    </row>
    <row r="12" spans="1:8" ht="72" customHeight="1">
      <c r="A12" s="11" t="s">
        <v>109</v>
      </c>
      <c r="B12" s="25" t="s">
        <v>110</v>
      </c>
      <c r="C12" s="25" t="s">
        <v>90</v>
      </c>
      <c r="D12" s="25">
        <v>24.5</v>
      </c>
      <c r="E12" s="25" t="s">
        <v>100</v>
      </c>
      <c r="F12" s="25" t="s">
        <v>111</v>
      </c>
      <c r="G12" s="25" t="s">
        <v>112</v>
      </c>
      <c r="H12" s="12" t="s">
        <v>113</v>
      </c>
    </row>
    <row r="13" spans="1:8" ht="72" customHeight="1">
      <c r="A13" s="11" t="s">
        <v>114</v>
      </c>
      <c r="B13" s="25" t="s">
        <v>115</v>
      </c>
      <c r="C13" s="25" t="s">
        <v>116</v>
      </c>
      <c r="D13" s="25">
        <v>21</v>
      </c>
      <c r="E13" s="25" t="s">
        <v>84</v>
      </c>
      <c r="F13" s="25" t="s">
        <v>117</v>
      </c>
      <c r="G13" s="25" t="s">
        <v>118</v>
      </c>
      <c r="H13" s="27" t="s">
        <v>119</v>
      </c>
    </row>
    <row r="14" spans="1:8" ht="72" customHeight="1">
      <c r="A14" s="28" t="s">
        <v>120</v>
      </c>
      <c r="B14" s="29" t="s">
        <v>121</v>
      </c>
      <c r="C14" s="29" t="s">
        <v>122</v>
      </c>
      <c r="D14" s="29" t="s">
        <v>78</v>
      </c>
      <c r="E14" s="29" t="s">
        <v>78</v>
      </c>
      <c r="F14" s="29" t="s">
        <v>123</v>
      </c>
      <c r="G14" s="29" t="s">
        <v>78</v>
      </c>
      <c r="H14" s="30" t="s">
        <v>124</v>
      </c>
    </row>
    <row r="16" spans="1:8" ht="15">
      <c r="A16" s="54" t="s">
        <v>21</v>
      </c>
      <c r="B16" s="54"/>
      <c r="C16" s="54"/>
      <c r="D16" s="54"/>
      <c r="E16" s="54"/>
      <c r="F16" s="54"/>
      <c r="G16" s="54"/>
      <c r="H16" s="54"/>
    </row>
    <row r="17" spans="1:8" ht="15">
      <c r="A17" s="21" t="s">
        <v>125</v>
      </c>
      <c r="B17" s="22" t="s">
        <v>126</v>
      </c>
      <c r="C17" s="22" t="s">
        <v>127</v>
      </c>
      <c r="D17" s="23" t="s">
        <v>128</v>
      </c>
      <c r="F17" s="75" t="s">
        <v>129</v>
      </c>
      <c r="G17" s="76" t="s">
        <v>129</v>
      </c>
      <c r="H17" s="77" t="s">
        <v>129</v>
      </c>
    </row>
    <row r="18" spans="1:8" ht="57">
      <c r="A18" s="9" t="s">
        <v>130</v>
      </c>
      <c r="B18" s="31">
        <f>SUM(D6:D13)</f>
        <v>203</v>
      </c>
      <c r="C18" s="24" t="s">
        <v>131</v>
      </c>
      <c r="D18" s="10" t="s">
        <v>132</v>
      </c>
      <c r="F18" s="78" t="s">
        <v>129</v>
      </c>
      <c r="G18" s="79" t="s">
        <v>129</v>
      </c>
      <c r="H18" s="80" t="s">
        <v>129</v>
      </c>
    </row>
    <row r="19" spans="1:8" ht="57">
      <c r="A19" s="11" t="s">
        <v>133</v>
      </c>
      <c r="B19" s="32">
        <v>46</v>
      </c>
      <c r="C19" s="25" t="s">
        <v>60</v>
      </c>
      <c r="D19" s="12" t="s">
        <v>134</v>
      </c>
      <c r="F19" s="78" t="s">
        <v>129</v>
      </c>
      <c r="G19" s="79" t="s">
        <v>129</v>
      </c>
      <c r="H19" s="80" t="s">
        <v>129</v>
      </c>
    </row>
    <row r="20" spans="1:8" ht="57">
      <c r="A20" s="11" t="s">
        <v>135</v>
      </c>
      <c r="B20" s="32">
        <v>21</v>
      </c>
      <c r="C20" s="25" t="s">
        <v>60</v>
      </c>
      <c r="D20" s="12" t="s">
        <v>136</v>
      </c>
      <c r="F20" s="78" t="s">
        <v>129</v>
      </c>
      <c r="G20" s="79" t="s">
        <v>129</v>
      </c>
      <c r="H20" s="80" t="s">
        <v>129</v>
      </c>
    </row>
    <row r="21" spans="1:8" ht="57">
      <c r="A21" s="11" t="s">
        <v>137</v>
      </c>
      <c r="B21" s="32">
        <f>SUM(B19:B20)</f>
        <v>67</v>
      </c>
      <c r="C21" s="25" t="s">
        <v>60</v>
      </c>
      <c r="D21" s="12" t="s">
        <v>138</v>
      </c>
      <c r="F21" s="78" t="s">
        <v>129</v>
      </c>
      <c r="G21" s="79" t="s">
        <v>129</v>
      </c>
      <c r="H21" s="80" t="s">
        <v>129</v>
      </c>
    </row>
    <row r="22" spans="1:8" ht="28.5">
      <c r="A22" s="13" t="s">
        <v>139</v>
      </c>
      <c r="B22" s="33">
        <f>B21-60</f>
        <v>7</v>
      </c>
      <c r="C22" s="26" t="s">
        <v>60</v>
      </c>
      <c r="D22" s="14" t="s">
        <v>140</v>
      </c>
      <c r="F22" s="81" t="s">
        <v>129</v>
      </c>
      <c r="G22" s="82" t="s">
        <v>129</v>
      </c>
      <c r="H22" s="83" t="s">
        <v>129</v>
      </c>
    </row>
  </sheetData>
  <mergeCells count="4">
    <mergeCell ref="A1:H2"/>
    <mergeCell ref="A3:H3"/>
    <mergeCell ref="A16:H16"/>
    <mergeCell ref="F17:H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workbookViewId="0">
      <selection sqref="A1:F2"/>
    </sheetView>
  </sheetViews>
  <sheetFormatPr baseColWidth="10" defaultColWidth="9" defaultRowHeight="14.25"/>
  <cols>
    <col min="1" max="1" width="14" customWidth="1"/>
    <col min="2" max="3" width="16" customWidth="1"/>
    <col min="4" max="5" width="18" customWidth="1"/>
    <col min="6" max="6" width="14" customWidth="1"/>
    <col min="7" max="7" width="3" customWidth="1"/>
  </cols>
  <sheetData>
    <row r="1" spans="1:6">
      <c r="A1" s="55" t="s">
        <v>141</v>
      </c>
      <c r="B1" s="55" t="s">
        <v>141</v>
      </c>
      <c r="C1" s="55" t="s">
        <v>141</v>
      </c>
      <c r="D1" s="55" t="s">
        <v>141</v>
      </c>
      <c r="E1" s="55" t="s">
        <v>141</v>
      </c>
      <c r="F1" s="55" t="s">
        <v>141</v>
      </c>
    </row>
    <row r="2" spans="1:6">
      <c r="A2" s="55" t="s">
        <v>141</v>
      </c>
      <c r="B2" s="55" t="s">
        <v>141</v>
      </c>
      <c r="C2" s="55" t="s">
        <v>141</v>
      </c>
      <c r="D2" s="55" t="s">
        <v>141</v>
      </c>
      <c r="E2" s="55" t="s">
        <v>141</v>
      </c>
      <c r="F2" s="55" t="s">
        <v>141</v>
      </c>
    </row>
    <row r="3" spans="1:6">
      <c r="A3" s="84" t="s">
        <v>142</v>
      </c>
      <c r="B3" s="84" t="s">
        <v>142</v>
      </c>
      <c r="C3" s="84" t="s">
        <v>142</v>
      </c>
      <c r="D3" s="84" t="s">
        <v>142</v>
      </c>
      <c r="E3" s="84" t="s">
        <v>142</v>
      </c>
      <c r="F3" s="84" t="s">
        <v>142</v>
      </c>
    </row>
    <row r="5" spans="1:6" ht="30">
      <c r="A5" s="21" t="s">
        <v>13</v>
      </c>
      <c r="B5" s="22" t="s">
        <v>22</v>
      </c>
      <c r="C5" s="22" t="s">
        <v>23</v>
      </c>
      <c r="D5" s="22" t="s">
        <v>24</v>
      </c>
      <c r="E5" s="22" t="s">
        <v>25</v>
      </c>
      <c r="F5" s="23" t="s">
        <v>26</v>
      </c>
    </row>
    <row r="6" spans="1:6">
      <c r="A6" s="9" t="s">
        <v>143</v>
      </c>
      <c r="B6" s="24" t="s">
        <v>144</v>
      </c>
      <c r="C6" s="34">
        <v>0</v>
      </c>
      <c r="D6" s="34">
        <v>0</v>
      </c>
      <c r="E6" s="35">
        <v>0</v>
      </c>
      <c r="F6" s="36">
        <v>67</v>
      </c>
    </row>
    <row r="7" spans="1:6">
      <c r="A7" s="11" t="s">
        <v>81</v>
      </c>
      <c r="B7" s="25" t="s">
        <v>145</v>
      </c>
      <c r="C7" s="37">
        <v>8</v>
      </c>
      <c r="D7" s="37">
        <f t="shared" ref="D7:D13" si="0">D6+C7</f>
        <v>8</v>
      </c>
      <c r="E7" s="38"/>
      <c r="F7" s="39">
        <v>67</v>
      </c>
    </row>
    <row r="8" spans="1:6">
      <c r="A8" s="11" t="s">
        <v>88</v>
      </c>
      <c r="B8" s="25" t="s">
        <v>146</v>
      </c>
      <c r="C8" s="37">
        <v>8</v>
      </c>
      <c r="D8" s="37">
        <f t="shared" si="0"/>
        <v>16</v>
      </c>
      <c r="E8" s="38"/>
      <c r="F8" s="39">
        <v>67</v>
      </c>
    </row>
    <row r="9" spans="1:6">
      <c r="A9" s="11" t="s">
        <v>94</v>
      </c>
      <c r="B9" s="25" t="s">
        <v>147</v>
      </c>
      <c r="C9" s="37">
        <v>9</v>
      </c>
      <c r="D9" s="37">
        <f t="shared" si="0"/>
        <v>25</v>
      </c>
      <c r="E9" s="38"/>
      <c r="F9" s="39">
        <v>67</v>
      </c>
    </row>
    <row r="10" spans="1:6">
      <c r="A10" s="11" t="s">
        <v>98</v>
      </c>
      <c r="B10" s="25" t="s">
        <v>148</v>
      </c>
      <c r="C10" s="37">
        <v>13</v>
      </c>
      <c r="D10" s="37">
        <f t="shared" si="0"/>
        <v>38</v>
      </c>
      <c r="E10" s="38"/>
      <c r="F10" s="39">
        <v>67</v>
      </c>
    </row>
    <row r="11" spans="1:6">
      <c r="A11" s="11" t="s">
        <v>104</v>
      </c>
      <c r="B11" s="25" t="s">
        <v>149</v>
      </c>
      <c r="C11" s="37">
        <v>8</v>
      </c>
      <c r="D11" s="37">
        <f t="shared" si="0"/>
        <v>46</v>
      </c>
      <c r="E11" s="38"/>
      <c r="F11" s="39">
        <v>67</v>
      </c>
    </row>
    <row r="12" spans="1:6">
      <c r="A12" s="11" t="s">
        <v>109</v>
      </c>
      <c r="B12" s="25" t="s">
        <v>150</v>
      </c>
      <c r="C12" s="37">
        <v>13</v>
      </c>
      <c r="D12" s="37">
        <f t="shared" si="0"/>
        <v>59</v>
      </c>
      <c r="E12" s="38"/>
      <c r="F12" s="39">
        <v>67</v>
      </c>
    </row>
    <row r="13" spans="1:6">
      <c r="A13" s="13" t="s">
        <v>114</v>
      </c>
      <c r="B13" s="26" t="s">
        <v>151</v>
      </c>
      <c r="C13" s="40">
        <v>8</v>
      </c>
      <c r="D13" s="40">
        <f t="shared" si="0"/>
        <v>67</v>
      </c>
      <c r="E13" s="41"/>
      <c r="F13" s="42">
        <v>67</v>
      </c>
    </row>
    <row r="15" spans="1:6">
      <c r="A15" s="85" t="s">
        <v>152</v>
      </c>
      <c r="B15" s="86" t="s">
        <v>152</v>
      </c>
      <c r="C15" s="86" t="s">
        <v>152</v>
      </c>
      <c r="D15" s="86" t="s">
        <v>152</v>
      </c>
      <c r="E15" s="86" t="s">
        <v>152</v>
      </c>
      <c r="F15" s="87" t="s">
        <v>152</v>
      </c>
    </row>
    <row r="16" spans="1:6">
      <c r="A16" s="88"/>
      <c r="B16" s="89"/>
      <c r="C16" s="89"/>
      <c r="D16" s="89"/>
      <c r="E16" s="89"/>
      <c r="F16" s="90"/>
    </row>
    <row r="17" spans="1:6">
      <c r="A17" s="91"/>
      <c r="B17" s="92"/>
      <c r="C17" s="92"/>
      <c r="D17" s="92"/>
      <c r="E17" s="92"/>
      <c r="F17" s="93"/>
    </row>
  </sheetData>
  <mergeCells count="3">
    <mergeCell ref="A1:F2"/>
    <mergeCell ref="A3:F3"/>
    <mergeCell ref="A15:F17"/>
  </mergeCells>
  <dataValidations count="1">
    <dataValidation type="decimal" sqref="E6:E13" xr:uid="{00000000-0002-0000-0300-000000000000}">
      <formula1>0</formula1>
      <formula2>51</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selection sqref="A1:D2"/>
    </sheetView>
  </sheetViews>
  <sheetFormatPr baseColWidth="10" defaultColWidth="9" defaultRowHeight="14.25"/>
  <cols>
    <col min="1" max="1" width="48" customWidth="1"/>
    <col min="2" max="2" width="18" customWidth="1"/>
    <col min="3" max="4" width="36" customWidth="1"/>
  </cols>
  <sheetData>
    <row r="1" spans="1:4">
      <c r="A1" s="55" t="s">
        <v>27</v>
      </c>
      <c r="B1" s="55"/>
      <c r="C1" s="55"/>
      <c r="D1" s="55"/>
    </row>
    <row r="2" spans="1:4">
      <c r="A2" s="55"/>
      <c r="B2" s="55"/>
      <c r="C2" s="55"/>
      <c r="D2" s="55"/>
    </row>
    <row r="4" spans="1:4" ht="15">
      <c r="A4" s="21" t="s">
        <v>28</v>
      </c>
      <c r="B4" s="22" t="s">
        <v>29</v>
      </c>
      <c r="C4" s="22" t="s">
        <v>30</v>
      </c>
      <c r="D4" s="23" t="s">
        <v>31</v>
      </c>
    </row>
    <row r="5" spans="1:4" ht="44.1" customHeight="1">
      <c r="A5" s="9" t="s">
        <v>153</v>
      </c>
      <c r="B5" s="24" t="s">
        <v>154</v>
      </c>
      <c r="C5" s="24" t="s">
        <v>155</v>
      </c>
      <c r="D5" s="10"/>
    </row>
    <row r="6" spans="1:4" ht="44.1" customHeight="1">
      <c r="A6" s="11" t="s">
        <v>156</v>
      </c>
      <c r="B6" s="25" t="s">
        <v>154</v>
      </c>
      <c r="C6" s="25" t="s">
        <v>157</v>
      </c>
      <c r="D6" s="12"/>
    </row>
    <row r="7" spans="1:4" ht="44.1" customHeight="1">
      <c r="A7" s="11" t="s">
        <v>158</v>
      </c>
      <c r="B7" s="25" t="s">
        <v>154</v>
      </c>
      <c r="C7" s="25" t="s">
        <v>159</v>
      </c>
      <c r="D7" s="12"/>
    </row>
    <row r="8" spans="1:4" ht="44.1" customHeight="1">
      <c r="A8" s="11" t="s">
        <v>160</v>
      </c>
      <c r="B8" s="25" t="s">
        <v>154</v>
      </c>
      <c r="C8" s="25" t="s">
        <v>161</v>
      </c>
      <c r="D8" s="12"/>
    </row>
    <row r="9" spans="1:4" ht="44.1" customHeight="1">
      <c r="A9" s="11" t="s">
        <v>162</v>
      </c>
      <c r="B9" s="25" t="s">
        <v>154</v>
      </c>
      <c r="C9" s="25" t="s">
        <v>163</v>
      </c>
      <c r="D9" s="12" t="s">
        <v>164</v>
      </c>
    </row>
    <row r="10" spans="1:4" ht="44.1" customHeight="1">
      <c r="A10" s="11" t="s">
        <v>165</v>
      </c>
      <c r="B10" s="25" t="s">
        <v>154</v>
      </c>
      <c r="C10" s="25" t="s">
        <v>166</v>
      </c>
      <c r="D10" s="12"/>
    </row>
    <row r="11" spans="1:4" ht="44.1" customHeight="1">
      <c r="A11" s="11" t="s">
        <v>167</v>
      </c>
      <c r="B11" s="25" t="s">
        <v>154</v>
      </c>
      <c r="C11" s="25" t="s">
        <v>168</v>
      </c>
      <c r="D11" s="12"/>
    </row>
    <row r="12" spans="1:4" ht="44.1" customHeight="1">
      <c r="A12" s="11" t="s">
        <v>169</v>
      </c>
      <c r="B12" s="25" t="s">
        <v>154</v>
      </c>
      <c r="C12" s="25" t="s">
        <v>170</v>
      </c>
      <c r="D12" s="12" t="s">
        <v>171</v>
      </c>
    </row>
    <row r="13" spans="1:4" ht="44.1" customHeight="1">
      <c r="A13" s="13" t="s">
        <v>172</v>
      </c>
      <c r="B13" s="26" t="s">
        <v>173</v>
      </c>
      <c r="C13" s="26" t="s">
        <v>174</v>
      </c>
      <c r="D13" s="14" t="s">
        <v>175</v>
      </c>
    </row>
    <row r="14" spans="1:4" ht="44.1" customHeight="1">
      <c r="A14" s="13" t="s">
        <v>176</v>
      </c>
      <c r="B14" s="26" t="s">
        <v>177</v>
      </c>
      <c r="C14" s="26" t="s">
        <v>178</v>
      </c>
      <c r="D14" s="14" t="s">
        <v>179</v>
      </c>
    </row>
  </sheetData>
  <mergeCells count="1">
    <mergeCell ref="A1:D2"/>
  </mergeCells>
  <conditionalFormatting sqref="B5:B13">
    <cfRule type="expression" dxfId="20" priority="1">
      <formula>B5="Oui"</formula>
    </cfRule>
    <cfRule type="expression" dxfId="19" priority="2">
      <formula>B5="Partiel"</formula>
    </cfRule>
    <cfRule type="expression" dxfId="18" priority="3">
      <formula>B5="Non"</formula>
    </cfRule>
  </conditionalFormatting>
  <conditionalFormatting sqref="B5:B14">
    <cfRule type="expression" dxfId="17" priority="4">
      <formula>B5="Oui"</formula>
    </cfRule>
    <cfRule type="expression" dxfId="16" priority="5">
      <formula>B5="Partiel"</formula>
    </cfRule>
    <cfRule type="expression" dxfId="15" priority="6">
      <formula>B5="Non"</formula>
    </cfRule>
  </conditionalFormatting>
  <dataValidations count="1">
    <dataValidation type="list" sqref="B5:B14" xr:uid="{00000000-0002-0000-0400-000000000000}">
      <formula1>"Oui,Partiel,Non"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topLeftCell="A9" workbookViewId="0">
      <selection sqref="A1:E2"/>
    </sheetView>
  </sheetViews>
  <sheetFormatPr baseColWidth="10" defaultColWidth="9" defaultRowHeight="14.25"/>
  <cols>
    <col min="1" max="1" width="12" customWidth="1"/>
    <col min="2" max="2" width="42" customWidth="1"/>
    <col min="3" max="4" width="40" customWidth="1"/>
    <col min="5" max="5" width="28" customWidth="1"/>
  </cols>
  <sheetData>
    <row r="1" spans="1:5">
      <c r="A1" s="55" t="s">
        <v>32</v>
      </c>
      <c r="B1" s="55"/>
      <c r="C1" s="55"/>
      <c r="D1" s="55"/>
      <c r="E1" s="55"/>
    </row>
    <row r="2" spans="1:5">
      <c r="A2" s="55"/>
      <c r="B2" s="55"/>
      <c r="C2" s="55"/>
      <c r="D2" s="55"/>
      <c r="E2" s="55"/>
    </row>
    <row r="4" spans="1:5" ht="15">
      <c r="A4" s="21" t="s">
        <v>33</v>
      </c>
      <c r="B4" s="22" t="s">
        <v>34</v>
      </c>
      <c r="C4" s="22" t="s">
        <v>35</v>
      </c>
      <c r="D4" s="22" t="s">
        <v>36</v>
      </c>
      <c r="E4" s="23" t="s">
        <v>37</v>
      </c>
    </row>
    <row r="5" spans="1:5" ht="72" customHeight="1">
      <c r="A5" s="9" t="s">
        <v>180</v>
      </c>
      <c r="B5" s="24" t="s">
        <v>181</v>
      </c>
      <c r="C5" s="24" t="s">
        <v>182</v>
      </c>
      <c r="D5" s="24" t="s">
        <v>183</v>
      </c>
      <c r="E5" s="10" t="s">
        <v>184</v>
      </c>
    </row>
    <row r="6" spans="1:5" ht="72" customHeight="1">
      <c r="A6" s="11" t="s">
        <v>180</v>
      </c>
      <c r="B6" s="25" t="s">
        <v>185</v>
      </c>
      <c r="C6" s="25" t="s">
        <v>186</v>
      </c>
      <c r="D6" s="25" t="s">
        <v>187</v>
      </c>
      <c r="E6" s="12" t="s">
        <v>188</v>
      </c>
    </row>
    <row r="7" spans="1:5" ht="72" customHeight="1">
      <c r="A7" s="11" t="s">
        <v>180</v>
      </c>
      <c r="B7" s="25" t="s">
        <v>189</v>
      </c>
      <c r="C7" s="25" t="s">
        <v>190</v>
      </c>
      <c r="D7" s="25" t="s">
        <v>191</v>
      </c>
      <c r="E7" s="12" t="s">
        <v>192</v>
      </c>
    </row>
    <row r="8" spans="1:5" ht="72" customHeight="1">
      <c r="A8" s="11" t="s">
        <v>180</v>
      </c>
      <c r="B8" s="25" t="s">
        <v>193</v>
      </c>
      <c r="C8" s="25" t="s">
        <v>194</v>
      </c>
      <c r="D8" s="25" t="s">
        <v>195</v>
      </c>
      <c r="E8" s="12" t="s">
        <v>196</v>
      </c>
    </row>
    <row r="9" spans="1:5" ht="72" customHeight="1">
      <c r="A9" s="11" t="s">
        <v>197</v>
      </c>
      <c r="B9" s="25" t="s">
        <v>198</v>
      </c>
      <c r="C9" s="25" t="s">
        <v>199</v>
      </c>
      <c r="D9" s="25" t="s">
        <v>200</v>
      </c>
      <c r="E9" s="12" t="s">
        <v>201</v>
      </c>
    </row>
    <row r="10" spans="1:5" ht="72" customHeight="1">
      <c r="A10" s="11" t="s">
        <v>197</v>
      </c>
      <c r="B10" s="25" t="s">
        <v>202</v>
      </c>
      <c r="C10" s="25" t="s">
        <v>203</v>
      </c>
      <c r="D10" s="25" t="s">
        <v>204</v>
      </c>
      <c r="E10" s="12" t="s">
        <v>205</v>
      </c>
    </row>
    <row r="11" spans="1:5" ht="72" customHeight="1">
      <c r="A11" s="11" t="s">
        <v>197</v>
      </c>
      <c r="B11" s="25" t="s">
        <v>206</v>
      </c>
      <c r="C11" s="25" t="s">
        <v>207</v>
      </c>
      <c r="D11" s="25" t="s">
        <v>208</v>
      </c>
      <c r="E11" s="12" t="s">
        <v>209</v>
      </c>
    </row>
    <row r="12" spans="1:5" ht="72" customHeight="1">
      <c r="A12" s="13" t="s">
        <v>197</v>
      </c>
      <c r="B12" s="26" t="s">
        <v>210</v>
      </c>
      <c r="C12" s="26" t="s">
        <v>211</v>
      </c>
      <c r="D12" s="26" t="s">
        <v>212</v>
      </c>
      <c r="E12" s="14" t="s">
        <v>213</v>
      </c>
    </row>
    <row r="13" spans="1:5" ht="72" customHeight="1">
      <c r="A13" s="11" t="s">
        <v>197</v>
      </c>
      <c r="B13" s="25" t="s">
        <v>214</v>
      </c>
      <c r="C13" s="25" t="s">
        <v>215</v>
      </c>
      <c r="D13" s="25" t="s">
        <v>216</v>
      </c>
      <c r="E13" s="12" t="s">
        <v>217</v>
      </c>
    </row>
    <row r="14" spans="1:5" ht="72" customHeight="1">
      <c r="A14" s="13" t="s">
        <v>218</v>
      </c>
      <c r="B14" s="26" t="s">
        <v>219</v>
      </c>
      <c r="C14" s="26" t="s">
        <v>220</v>
      </c>
      <c r="D14" s="26" t="s">
        <v>221</v>
      </c>
      <c r="E14" s="14" t="s">
        <v>222</v>
      </c>
    </row>
    <row r="15" spans="1:5" ht="72" customHeight="1">
      <c r="A15" s="13"/>
      <c r="B15" s="26"/>
      <c r="C15" s="26"/>
      <c r="D15" s="26"/>
      <c r="E15" s="14"/>
    </row>
  </sheetData>
  <mergeCells count="1">
    <mergeCell ref="A1:E2"/>
  </mergeCells>
  <conditionalFormatting sqref="A5:A12">
    <cfRule type="expression" dxfId="14" priority="1">
      <formula>A5="Haute"</formula>
    </cfRule>
    <cfRule type="expression" dxfId="13" priority="2">
      <formula>A5="Moyenne"</formula>
    </cfRule>
    <cfRule type="expression" dxfId="12" priority="3">
      <formula>A5="Basse"</formula>
    </cfRule>
  </conditionalFormatting>
  <conditionalFormatting sqref="A5:A15">
    <cfRule type="expression" dxfId="11" priority="4">
      <formula>A5="Haute"</formula>
    </cfRule>
    <cfRule type="expression" dxfId="10" priority="5">
      <formula>A5="Moyenne"</formula>
    </cfRule>
    <cfRule type="expression" dxfId="9" priority="6">
      <formula>A5="Basse"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topLeftCell="A10" workbookViewId="0">
      <selection sqref="A1:G2"/>
    </sheetView>
  </sheetViews>
  <sheetFormatPr baseColWidth="10" defaultColWidth="9" defaultRowHeight="14.25"/>
  <cols>
    <col min="1" max="1" width="18" customWidth="1"/>
    <col min="2" max="2" width="23" customWidth="1"/>
    <col min="3" max="3" width="42" customWidth="1"/>
    <col min="4" max="4" width="25" customWidth="1"/>
    <col min="5" max="5" width="18" customWidth="1"/>
    <col min="6" max="6" width="20" customWidth="1"/>
    <col min="7" max="7" width="38" customWidth="1"/>
  </cols>
  <sheetData>
    <row r="1" spans="1:7">
      <c r="A1" s="94" t="s">
        <v>38</v>
      </c>
      <c r="B1" s="94"/>
      <c r="C1" s="94"/>
      <c r="D1" s="94"/>
      <c r="E1" s="94"/>
      <c r="F1" s="94"/>
      <c r="G1" s="94"/>
    </row>
    <row r="2" spans="1:7">
      <c r="A2" s="94"/>
      <c r="B2" s="94"/>
      <c r="C2" s="94"/>
      <c r="D2" s="94"/>
      <c r="E2" s="94"/>
      <c r="F2" s="94"/>
      <c r="G2" s="94"/>
    </row>
    <row r="3" spans="1:7">
      <c r="A3" s="95" t="s">
        <v>39</v>
      </c>
      <c r="B3" s="95"/>
      <c r="C3" s="95"/>
      <c r="D3" s="95"/>
      <c r="E3" s="95"/>
      <c r="F3" s="95"/>
      <c r="G3" s="95"/>
    </row>
    <row r="5" spans="1:7" ht="15">
      <c r="A5" s="43" t="s">
        <v>40</v>
      </c>
      <c r="B5" s="44" t="s">
        <v>41</v>
      </c>
      <c r="C5" s="44" t="s">
        <v>42</v>
      </c>
      <c r="D5" s="44" t="s">
        <v>43</v>
      </c>
      <c r="E5" s="44" t="s">
        <v>13</v>
      </c>
      <c r="F5" s="44" t="s">
        <v>10</v>
      </c>
      <c r="G5" s="45" t="s">
        <v>44</v>
      </c>
    </row>
    <row r="6" spans="1:7" ht="54" customHeight="1">
      <c r="A6" s="9" t="s">
        <v>223</v>
      </c>
      <c r="B6" s="24" t="s">
        <v>224</v>
      </c>
      <c r="C6" s="24" t="s">
        <v>225</v>
      </c>
      <c r="D6" s="24" t="s">
        <v>226</v>
      </c>
      <c r="E6" s="24" t="s">
        <v>227</v>
      </c>
      <c r="F6" s="24" t="s">
        <v>228</v>
      </c>
      <c r="G6" s="10" t="s">
        <v>229</v>
      </c>
    </row>
    <row r="7" spans="1:7" ht="54" customHeight="1">
      <c r="A7" s="11" t="s">
        <v>223</v>
      </c>
      <c r="B7" s="25" t="s">
        <v>230</v>
      </c>
      <c r="C7" s="25" t="s">
        <v>231</v>
      </c>
      <c r="D7" s="25" t="s">
        <v>232</v>
      </c>
      <c r="E7" s="25" t="s">
        <v>227</v>
      </c>
      <c r="F7" s="25" t="s">
        <v>228</v>
      </c>
      <c r="G7" s="12" t="s">
        <v>233</v>
      </c>
    </row>
    <row r="8" spans="1:7" ht="54" customHeight="1">
      <c r="A8" s="11" t="s">
        <v>223</v>
      </c>
      <c r="B8" s="25" t="s">
        <v>230</v>
      </c>
      <c r="C8" s="25" t="s">
        <v>234</v>
      </c>
      <c r="D8" s="25" t="s">
        <v>235</v>
      </c>
      <c r="E8" s="25" t="s">
        <v>236</v>
      </c>
      <c r="F8" s="25" t="s">
        <v>228</v>
      </c>
      <c r="G8" s="12" t="s">
        <v>237</v>
      </c>
    </row>
    <row r="9" spans="1:7" ht="54" customHeight="1">
      <c r="A9" s="11" t="s">
        <v>223</v>
      </c>
      <c r="B9" s="25" t="s">
        <v>238</v>
      </c>
      <c r="C9" s="25" t="s">
        <v>239</v>
      </c>
      <c r="D9" s="25" t="s">
        <v>240</v>
      </c>
      <c r="E9" s="25" t="s">
        <v>241</v>
      </c>
      <c r="F9" s="25" t="s">
        <v>228</v>
      </c>
      <c r="G9" s="12" t="s">
        <v>242</v>
      </c>
    </row>
    <row r="10" spans="1:7" ht="54" customHeight="1">
      <c r="A10" s="11" t="s">
        <v>243</v>
      </c>
      <c r="B10" s="25" t="s">
        <v>244</v>
      </c>
      <c r="C10" s="25" t="s">
        <v>245</v>
      </c>
      <c r="D10" s="25" t="s">
        <v>246</v>
      </c>
      <c r="E10" s="25" t="s">
        <v>241</v>
      </c>
      <c r="F10" s="25" t="s">
        <v>228</v>
      </c>
      <c r="G10" s="12" t="s">
        <v>247</v>
      </c>
    </row>
    <row r="11" spans="1:7" ht="54" customHeight="1">
      <c r="A11" s="11" t="s">
        <v>248</v>
      </c>
      <c r="B11" s="25" t="s">
        <v>249</v>
      </c>
      <c r="C11" s="25" t="s">
        <v>250</v>
      </c>
      <c r="D11" s="25" t="s">
        <v>251</v>
      </c>
      <c r="E11" s="25" t="s">
        <v>241</v>
      </c>
      <c r="F11" s="25" t="s">
        <v>228</v>
      </c>
      <c r="G11" s="12" t="s">
        <v>252</v>
      </c>
    </row>
    <row r="12" spans="1:7" ht="54" customHeight="1">
      <c r="A12" s="11" t="s">
        <v>223</v>
      </c>
      <c r="B12" s="25" t="s">
        <v>230</v>
      </c>
      <c r="C12" s="25" t="s">
        <v>253</v>
      </c>
      <c r="D12" s="25" t="s">
        <v>254</v>
      </c>
      <c r="E12" s="25" t="s">
        <v>255</v>
      </c>
      <c r="F12" s="25" t="s">
        <v>228</v>
      </c>
      <c r="G12" s="12" t="s">
        <v>256</v>
      </c>
    </row>
    <row r="13" spans="1:7" ht="54" customHeight="1">
      <c r="A13" s="11" t="s">
        <v>223</v>
      </c>
      <c r="B13" s="25" t="s">
        <v>257</v>
      </c>
      <c r="C13" s="25" t="s">
        <v>258</v>
      </c>
      <c r="D13" s="25" t="s">
        <v>259</v>
      </c>
      <c r="E13" s="25" t="s">
        <v>255</v>
      </c>
      <c r="F13" s="25" t="s">
        <v>228</v>
      </c>
      <c r="G13" s="12" t="s">
        <v>260</v>
      </c>
    </row>
    <row r="14" spans="1:7" ht="54" customHeight="1">
      <c r="A14" s="11" t="s">
        <v>243</v>
      </c>
      <c r="B14" s="25" t="s">
        <v>261</v>
      </c>
      <c r="C14" s="25" t="s">
        <v>262</v>
      </c>
      <c r="D14" s="25" t="s">
        <v>263</v>
      </c>
      <c r="E14" s="25" t="s">
        <v>264</v>
      </c>
      <c r="F14" s="25" t="s">
        <v>228</v>
      </c>
      <c r="G14" s="12" t="s">
        <v>265</v>
      </c>
    </row>
    <row r="15" spans="1:7" ht="54" customHeight="1">
      <c r="A15" s="11" t="s">
        <v>266</v>
      </c>
      <c r="B15" s="25" t="s">
        <v>267</v>
      </c>
      <c r="C15" s="25" t="s">
        <v>268</v>
      </c>
      <c r="D15" s="25" t="s">
        <v>269</v>
      </c>
      <c r="E15" s="25" t="s">
        <v>264</v>
      </c>
      <c r="F15" s="25" t="s">
        <v>228</v>
      </c>
      <c r="G15" s="12" t="s">
        <v>270</v>
      </c>
    </row>
    <row r="16" spans="1:7" ht="54" customHeight="1">
      <c r="A16" s="11" t="s">
        <v>271</v>
      </c>
      <c r="B16" s="25" t="s">
        <v>272</v>
      </c>
      <c r="C16" s="25" t="s">
        <v>273</v>
      </c>
      <c r="D16" s="25" t="s">
        <v>274</v>
      </c>
      <c r="E16" s="25" t="s">
        <v>275</v>
      </c>
      <c r="F16" s="25" t="s">
        <v>228</v>
      </c>
      <c r="G16" s="12" t="s">
        <v>276</v>
      </c>
    </row>
    <row r="17" spans="1:7" ht="54" customHeight="1">
      <c r="A17" s="11" t="s">
        <v>271</v>
      </c>
      <c r="B17" s="25" t="s">
        <v>277</v>
      </c>
      <c r="C17" s="25" t="s">
        <v>278</v>
      </c>
      <c r="D17" s="25" t="s">
        <v>279</v>
      </c>
      <c r="E17" s="25" t="s">
        <v>275</v>
      </c>
      <c r="F17" s="25" t="s">
        <v>228</v>
      </c>
      <c r="G17" s="12" t="s">
        <v>280</v>
      </c>
    </row>
    <row r="18" spans="1:7" ht="54" customHeight="1">
      <c r="A18" s="11" t="s">
        <v>271</v>
      </c>
      <c r="B18" s="25" t="s">
        <v>281</v>
      </c>
      <c r="C18" s="25" t="s">
        <v>282</v>
      </c>
      <c r="D18" s="25" t="s">
        <v>283</v>
      </c>
      <c r="E18" s="25" t="s">
        <v>284</v>
      </c>
      <c r="F18" s="25" t="s">
        <v>228</v>
      </c>
      <c r="G18" s="12" t="s">
        <v>285</v>
      </c>
    </row>
    <row r="19" spans="1:7" ht="54" customHeight="1">
      <c r="A19" s="13" t="s">
        <v>271</v>
      </c>
      <c r="B19" s="26" t="s">
        <v>286</v>
      </c>
      <c r="C19" s="26" t="s">
        <v>287</v>
      </c>
      <c r="D19" s="26" t="s">
        <v>288</v>
      </c>
      <c r="E19" s="26" t="s">
        <v>289</v>
      </c>
      <c r="F19" s="26" t="s">
        <v>290</v>
      </c>
      <c r="G19" s="14" t="s">
        <v>291</v>
      </c>
    </row>
  </sheetData>
  <mergeCells count="2">
    <mergeCell ref="A1:G2"/>
    <mergeCell ref="A3:G3"/>
  </mergeCells>
  <conditionalFormatting sqref="F6:F19">
    <cfRule type="expression" dxfId="8" priority="1">
      <formula>F6="Engagé"</formula>
    </cfRule>
    <cfRule type="expression" dxfId="7" priority="2">
      <formula>F6="Engagé provisoire"</formula>
    </cfRule>
    <cfRule type="expression" dxfId="6" priority="3">
      <formula>F6="Non engagé"</formula>
    </cfRule>
    <cfRule type="expression" dxfId="5" priority="4">
      <formula>F6="Reporté"</formula>
    </cfRule>
    <cfRule type="expression" dxfId="4" priority="5">
      <formula>F6="Partiel"</formula>
    </cfRule>
    <cfRule type="expression" dxfId="3" priority="6">
      <formula>F6="À intégrer"</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
  <sheetViews>
    <sheetView topLeftCell="A8" workbookViewId="0">
      <selection sqref="A1:E2"/>
    </sheetView>
  </sheetViews>
  <sheetFormatPr baseColWidth="10" defaultColWidth="9" defaultRowHeight="14.25"/>
  <cols>
    <col min="1" max="1" width="25" customWidth="1"/>
    <col min="2" max="2" width="48" customWidth="1"/>
    <col min="3" max="3" width="42" customWidth="1"/>
    <col min="4" max="4" width="25" customWidth="1"/>
    <col min="5" max="5" width="14" customWidth="1"/>
  </cols>
  <sheetData>
    <row r="1" spans="1:5">
      <c r="A1" s="96" t="s">
        <v>292</v>
      </c>
      <c r="B1" s="96"/>
      <c r="C1" s="96"/>
      <c r="D1" s="96"/>
      <c r="E1" s="96"/>
    </row>
    <row r="2" spans="1:5">
      <c r="A2" s="96"/>
      <c r="B2" s="96"/>
      <c r="C2" s="96"/>
      <c r="D2" s="96"/>
      <c r="E2" s="96"/>
    </row>
    <row r="3" spans="1:5">
      <c r="A3" s="97" t="s">
        <v>293</v>
      </c>
      <c r="B3" s="97"/>
      <c r="C3" s="97"/>
      <c r="D3" s="97"/>
      <c r="E3" s="97"/>
    </row>
    <row r="5" spans="1:5" ht="15">
      <c r="A5" s="46" t="s">
        <v>294</v>
      </c>
      <c r="B5" s="47" t="s">
        <v>295</v>
      </c>
      <c r="C5" s="47" t="s">
        <v>296</v>
      </c>
      <c r="D5" s="47" t="s">
        <v>297</v>
      </c>
      <c r="E5" s="48" t="s">
        <v>10</v>
      </c>
    </row>
    <row r="6" spans="1:5" ht="51.95" customHeight="1">
      <c r="A6" s="9" t="s">
        <v>298</v>
      </c>
      <c r="B6" s="24" t="s">
        <v>299</v>
      </c>
      <c r="C6" s="24" t="s">
        <v>300</v>
      </c>
      <c r="D6" s="24" t="s">
        <v>301</v>
      </c>
      <c r="E6" s="10" t="s">
        <v>302</v>
      </c>
    </row>
    <row r="7" spans="1:5" ht="51.95" customHeight="1">
      <c r="A7" s="11" t="s">
        <v>303</v>
      </c>
      <c r="B7" s="25" t="s">
        <v>304</v>
      </c>
      <c r="C7" s="25" t="s">
        <v>305</v>
      </c>
      <c r="D7" s="25" t="s">
        <v>306</v>
      </c>
      <c r="E7" s="12" t="s">
        <v>302</v>
      </c>
    </row>
    <row r="8" spans="1:5" ht="51.95" customHeight="1">
      <c r="A8" s="11" t="s">
        <v>307</v>
      </c>
      <c r="B8" s="25" t="s">
        <v>308</v>
      </c>
      <c r="C8" s="25" t="s">
        <v>309</v>
      </c>
      <c r="D8" s="25" t="s">
        <v>310</v>
      </c>
      <c r="E8" s="12" t="s">
        <v>302</v>
      </c>
    </row>
    <row r="9" spans="1:5" ht="51.95" customHeight="1">
      <c r="A9" s="11" t="s">
        <v>311</v>
      </c>
      <c r="B9" s="25" t="s">
        <v>312</v>
      </c>
      <c r="C9" s="25" t="s">
        <v>313</v>
      </c>
      <c r="D9" s="25" t="s">
        <v>314</v>
      </c>
      <c r="E9" s="12" t="s">
        <v>302</v>
      </c>
    </row>
    <row r="10" spans="1:5" ht="51.95" customHeight="1">
      <c r="A10" s="11" t="s">
        <v>315</v>
      </c>
      <c r="B10" s="25" t="s">
        <v>316</v>
      </c>
      <c r="C10" s="25" t="s">
        <v>317</v>
      </c>
      <c r="D10" s="25" t="s">
        <v>318</v>
      </c>
      <c r="E10" s="12" t="s">
        <v>302</v>
      </c>
    </row>
    <row r="11" spans="1:5" ht="51.95" customHeight="1">
      <c r="A11" s="11" t="s">
        <v>94</v>
      </c>
      <c r="B11" s="25" t="s">
        <v>319</v>
      </c>
      <c r="C11" s="25" t="s">
        <v>320</v>
      </c>
      <c r="D11" s="25" t="s">
        <v>321</v>
      </c>
      <c r="E11" s="12" t="s">
        <v>302</v>
      </c>
    </row>
    <row r="12" spans="1:5" ht="51.95" customHeight="1">
      <c r="A12" s="11" t="s">
        <v>322</v>
      </c>
      <c r="B12" s="25" t="s">
        <v>323</v>
      </c>
      <c r="C12" s="25" t="s">
        <v>324</v>
      </c>
      <c r="D12" s="25" t="s">
        <v>325</v>
      </c>
      <c r="E12" s="12" t="s">
        <v>302</v>
      </c>
    </row>
    <row r="13" spans="1:5" ht="51.95" customHeight="1">
      <c r="A13" s="11" t="s">
        <v>26</v>
      </c>
      <c r="B13" s="25" t="s">
        <v>326</v>
      </c>
      <c r="C13" s="25" t="s">
        <v>327</v>
      </c>
      <c r="D13" s="25" t="s">
        <v>328</v>
      </c>
      <c r="E13" s="12" t="s">
        <v>302</v>
      </c>
    </row>
    <row r="14" spans="1:5" ht="51.95" customHeight="1">
      <c r="A14" s="11" t="s">
        <v>329</v>
      </c>
      <c r="B14" s="25" t="s">
        <v>330</v>
      </c>
      <c r="C14" s="25" t="s">
        <v>331</v>
      </c>
      <c r="D14" s="25" t="s">
        <v>332</v>
      </c>
      <c r="E14" s="12" t="s">
        <v>302</v>
      </c>
    </row>
    <row r="15" spans="1:5" ht="51.95" customHeight="1">
      <c r="A15" s="11" t="s">
        <v>333</v>
      </c>
      <c r="B15" s="25" t="s">
        <v>334</v>
      </c>
      <c r="C15" s="25" t="s">
        <v>335</v>
      </c>
      <c r="D15" s="25" t="s">
        <v>336</v>
      </c>
      <c r="E15" s="12" t="s">
        <v>302</v>
      </c>
    </row>
    <row r="16" spans="1:5" ht="51.95" customHeight="1">
      <c r="A16" s="11" t="s">
        <v>29</v>
      </c>
      <c r="B16" s="25" t="s">
        <v>337</v>
      </c>
      <c r="C16" s="25" t="s">
        <v>338</v>
      </c>
      <c r="D16" s="25" t="s">
        <v>339</v>
      </c>
      <c r="E16" s="12" t="s">
        <v>302</v>
      </c>
    </row>
    <row r="17" spans="1:5" ht="51.95" customHeight="1">
      <c r="A17" s="13" t="s">
        <v>340</v>
      </c>
      <c r="B17" s="26" t="s">
        <v>341</v>
      </c>
      <c r="C17" s="26" t="s">
        <v>342</v>
      </c>
      <c r="D17" s="26" t="s">
        <v>343</v>
      </c>
      <c r="E17" s="14" t="s">
        <v>302</v>
      </c>
    </row>
  </sheetData>
  <mergeCells count="2">
    <mergeCell ref="A1:E2"/>
    <mergeCell ref="A3:E3"/>
  </mergeCells>
  <conditionalFormatting sqref="E6:E17">
    <cfRule type="expression" dxfId="2" priority="1">
      <formula>E6="Fait"</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4"/>
  <sheetViews>
    <sheetView tabSelected="1" workbookViewId="0">
      <selection sqref="A1:H2"/>
    </sheetView>
  </sheetViews>
  <sheetFormatPr baseColWidth="10" defaultColWidth="9" defaultRowHeight="14.25"/>
  <cols>
    <col min="1" max="1" width="12" customWidth="1"/>
    <col min="2" max="2" width="34" customWidth="1"/>
    <col min="3" max="3" width="12" customWidth="1"/>
    <col min="4" max="4" width="8" customWidth="1"/>
    <col min="5" max="6" width="10" customWidth="1"/>
    <col min="7" max="7" width="36" customWidth="1"/>
    <col min="8" max="8" width="34" customWidth="1"/>
  </cols>
  <sheetData>
    <row r="1" spans="1:8">
      <c r="A1" s="96" t="s">
        <v>344</v>
      </c>
      <c r="B1" s="96"/>
      <c r="C1" s="96"/>
      <c r="D1" s="96"/>
      <c r="E1" s="96"/>
      <c r="F1" s="96"/>
      <c r="G1" s="96"/>
      <c r="H1" s="96"/>
    </row>
    <row r="2" spans="1:8">
      <c r="A2" s="96"/>
      <c r="B2" s="96"/>
      <c r="C2" s="96"/>
      <c r="D2" s="96"/>
      <c r="E2" s="96"/>
      <c r="F2" s="96"/>
      <c r="G2" s="96"/>
      <c r="H2" s="96"/>
    </row>
    <row r="4" spans="1:8" ht="15">
      <c r="A4" s="46" t="s">
        <v>345</v>
      </c>
      <c r="B4" s="47" t="s">
        <v>346</v>
      </c>
      <c r="C4" s="47" t="s">
        <v>347</v>
      </c>
      <c r="D4" s="47" t="s">
        <v>60</v>
      </c>
      <c r="E4" s="47" t="s">
        <v>13</v>
      </c>
      <c r="F4" s="47" t="s">
        <v>348</v>
      </c>
      <c r="G4" s="47" t="s">
        <v>349</v>
      </c>
      <c r="H4" s="48" t="s">
        <v>350</v>
      </c>
    </row>
    <row r="5" spans="1:8" ht="45.95" customHeight="1">
      <c r="A5" s="9" t="s">
        <v>226</v>
      </c>
      <c r="B5" s="24" t="s">
        <v>351</v>
      </c>
      <c r="C5" s="24" t="s">
        <v>352</v>
      </c>
      <c r="D5" s="34">
        <v>3</v>
      </c>
      <c r="E5" s="24" t="s">
        <v>227</v>
      </c>
      <c r="F5" s="24" t="s">
        <v>353</v>
      </c>
      <c r="G5" s="24" t="s">
        <v>354</v>
      </c>
      <c r="H5" s="10" t="s">
        <v>355</v>
      </c>
    </row>
    <row r="6" spans="1:8" ht="45.95" customHeight="1">
      <c r="A6" s="11" t="s">
        <v>232</v>
      </c>
      <c r="B6" s="25" t="s">
        <v>231</v>
      </c>
      <c r="C6" s="25" t="s">
        <v>352</v>
      </c>
      <c r="D6" s="37">
        <v>5</v>
      </c>
      <c r="E6" s="25" t="s">
        <v>227</v>
      </c>
      <c r="F6" s="25" t="s">
        <v>353</v>
      </c>
      <c r="G6" s="25" t="s">
        <v>356</v>
      </c>
      <c r="H6" s="12" t="s">
        <v>357</v>
      </c>
    </row>
    <row r="7" spans="1:8" ht="45.95" customHeight="1">
      <c r="A7" s="11" t="s">
        <v>235</v>
      </c>
      <c r="B7" s="25" t="s">
        <v>358</v>
      </c>
      <c r="C7" s="25" t="s">
        <v>352</v>
      </c>
      <c r="D7" s="37">
        <v>8</v>
      </c>
      <c r="E7" s="25" t="s">
        <v>236</v>
      </c>
      <c r="F7" s="25" t="s">
        <v>353</v>
      </c>
      <c r="G7" s="25" t="s">
        <v>359</v>
      </c>
      <c r="H7" s="12" t="s">
        <v>360</v>
      </c>
    </row>
    <row r="8" spans="1:8" ht="45.95" customHeight="1">
      <c r="A8" s="11" t="s">
        <v>361</v>
      </c>
      <c r="B8" s="25" t="s">
        <v>362</v>
      </c>
      <c r="C8" s="25" t="s">
        <v>352</v>
      </c>
      <c r="D8" s="37">
        <v>3</v>
      </c>
      <c r="E8" s="25" t="s">
        <v>255</v>
      </c>
      <c r="F8" s="25" t="s">
        <v>353</v>
      </c>
      <c r="G8" s="25" t="s">
        <v>363</v>
      </c>
      <c r="H8" s="12" t="s">
        <v>364</v>
      </c>
    </row>
    <row r="9" spans="1:8" ht="45.95" customHeight="1">
      <c r="A9" s="11" t="s">
        <v>365</v>
      </c>
      <c r="B9" s="25" t="s">
        <v>366</v>
      </c>
      <c r="C9" s="25" t="s">
        <v>352</v>
      </c>
      <c r="D9" s="37">
        <v>3</v>
      </c>
      <c r="E9" s="25" t="s">
        <v>255</v>
      </c>
      <c r="F9" s="25" t="s">
        <v>353</v>
      </c>
      <c r="G9" s="25" t="s">
        <v>367</v>
      </c>
      <c r="H9" s="12" t="s">
        <v>368</v>
      </c>
    </row>
    <row r="10" spans="1:8" ht="45.95" customHeight="1">
      <c r="A10" s="11" t="s">
        <v>259</v>
      </c>
      <c r="B10" s="25" t="s">
        <v>258</v>
      </c>
      <c r="C10" s="25" t="s">
        <v>352</v>
      </c>
      <c r="D10" s="37">
        <v>3</v>
      </c>
      <c r="E10" s="25" t="s">
        <v>255</v>
      </c>
      <c r="F10" s="25" t="s">
        <v>353</v>
      </c>
      <c r="G10" s="25" t="s">
        <v>369</v>
      </c>
      <c r="H10" s="12" t="s">
        <v>370</v>
      </c>
    </row>
    <row r="11" spans="1:8" ht="45.95" customHeight="1">
      <c r="A11" s="11" t="s">
        <v>240</v>
      </c>
      <c r="B11" s="25" t="s">
        <v>371</v>
      </c>
      <c r="C11" s="25" t="s">
        <v>352</v>
      </c>
      <c r="D11" s="37">
        <v>5</v>
      </c>
      <c r="E11" s="25" t="s">
        <v>241</v>
      </c>
      <c r="F11" s="25" t="s">
        <v>353</v>
      </c>
      <c r="G11" s="25" t="s">
        <v>372</v>
      </c>
      <c r="H11" s="12" t="s">
        <v>373</v>
      </c>
    </row>
    <row r="12" spans="1:8" ht="45.95" customHeight="1">
      <c r="A12" s="11" t="s">
        <v>246</v>
      </c>
      <c r="B12" s="25" t="s">
        <v>374</v>
      </c>
      <c r="C12" s="25" t="s">
        <v>352</v>
      </c>
      <c r="D12" s="37">
        <v>3</v>
      </c>
      <c r="E12" s="25" t="s">
        <v>241</v>
      </c>
      <c r="F12" s="25" t="s">
        <v>353</v>
      </c>
      <c r="G12" s="25" t="s">
        <v>375</v>
      </c>
      <c r="H12" s="12" t="s">
        <v>376</v>
      </c>
    </row>
    <row r="13" spans="1:8" ht="45.95" customHeight="1">
      <c r="A13" s="11" t="s">
        <v>251</v>
      </c>
      <c r="B13" s="25" t="s">
        <v>377</v>
      </c>
      <c r="C13" s="25" t="s">
        <v>378</v>
      </c>
      <c r="D13" s="37">
        <v>5</v>
      </c>
      <c r="E13" s="25" t="s">
        <v>241</v>
      </c>
      <c r="F13" s="25" t="s">
        <v>353</v>
      </c>
      <c r="G13" s="25" t="s">
        <v>379</v>
      </c>
      <c r="H13" s="12" t="s">
        <v>380</v>
      </c>
    </row>
    <row r="14" spans="1:8" ht="45.95" customHeight="1">
      <c r="A14" s="11" t="s">
        <v>263</v>
      </c>
      <c r="B14" s="25" t="s">
        <v>381</v>
      </c>
      <c r="C14" s="25" t="s">
        <v>378</v>
      </c>
      <c r="D14" s="37">
        <v>5</v>
      </c>
      <c r="E14" s="25" t="s">
        <v>264</v>
      </c>
      <c r="F14" s="25" t="s">
        <v>353</v>
      </c>
      <c r="G14" s="25" t="s">
        <v>382</v>
      </c>
      <c r="H14" s="12" t="s">
        <v>383</v>
      </c>
    </row>
    <row r="15" spans="1:8" ht="45.95" customHeight="1">
      <c r="A15" s="11" t="s">
        <v>269</v>
      </c>
      <c r="B15" s="25" t="s">
        <v>384</v>
      </c>
      <c r="C15" s="25" t="s">
        <v>378</v>
      </c>
      <c r="D15" s="37">
        <v>3</v>
      </c>
      <c r="E15" s="25" t="s">
        <v>264</v>
      </c>
      <c r="F15" s="25" t="s">
        <v>353</v>
      </c>
      <c r="G15" s="25" t="s">
        <v>385</v>
      </c>
      <c r="H15" s="12" t="s">
        <v>386</v>
      </c>
    </row>
    <row r="16" spans="1:8" ht="45.95" customHeight="1">
      <c r="A16" s="11" t="s">
        <v>274</v>
      </c>
      <c r="B16" s="25" t="s">
        <v>273</v>
      </c>
      <c r="C16" s="25" t="s">
        <v>352</v>
      </c>
      <c r="D16" s="37">
        <v>8</v>
      </c>
      <c r="E16" s="25" t="s">
        <v>275</v>
      </c>
      <c r="F16" s="25" t="s">
        <v>387</v>
      </c>
      <c r="G16" s="25" t="s">
        <v>388</v>
      </c>
      <c r="H16" s="12" t="s">
        <v>389</v>
      </c>
    </row>
    <row r="17" spans="1:8" ht="45.95" customHeight="1">
      <c r="A17" s="11" t="s">
        <v>279</v>
      </c>
      <c r="B17" s="25" t="s">
        <v>278</v>
      </c>
      <c r="C17" s="25" t="s">
        <v>378</v>
      </c>
      <c r="D17" s="37">
        <v>5</v>
      </c>
      <c r="E17" s="25" t="s">
        <v>275</v>
      </c>
      <c r="F17" s="25" t="s">
        <v>387</v>
      </c>
      <c r="G17" s="25" t="s">
        <v>390</v>
      </c>
      <c r="H17" s="12" t="s">
        <v>391</v>
      </c>
    </row>
    <row r="18" spans="1:8" ht="45.95" customHeight="1">
      <c r="A18" s="13" t="s">
        <v>283</v>
      </c>
      <c r="B18" s="26" t="s">
        <v>392</v>
      </c>
      <c r="C18" s="26" t="s">
        <v>352</v>
      </c>
      <c r="D18" s="40">
        <v>8</v>
      </c>
      <c r="E18" s="26" t="s">
        <v>284</v>
      </c>
      <c r="F18" s="26" t="s">
        <v>387</v>
      </c>
      <c r="G18" s="26" t="s">
        <v>393</v>
      </c>
      <c r="H18" s="14" t="s">
        <v>394</v>
      </c>
    </row>
    <row r="20" spans="1:8" ht="15">
      <c r="A20" s="46" t="s">
        <v>125</v>
      </c>
      <c r="B20" s="47" t="s">
        <v>126</v>
      </c>
      <c r="C20" s="48" t="s">
        <v>128</v>
      </c>
    </row>
    <row r="21" spans="1:8" ht="28.5">
      <c r="A21" s="9" t="s">
        <v>19</v>
      </c>
      <c r="B21" s="24">
        <v>14</v>
      </c>
      <c r="C21" s="10" t="s">
        <v>395</v>
      </c>
    </row>
    <row r="22" spans="1:8" ht="42.75">
      <c r="A22" s="11" t="s">
        <v>396</v>
      </c>
      <c r="B22" s="25">
        <v>49</v>
      </c>
      <c r="C22" s="12" t="s">
        <v>397</v>
      </c>
    </row>
    <row r="23" spans="1:8" ht="42.75">
      <c r="A23" s="11" t="s">
        <v>398</v>
      </c>
      <c r="B23" s="25">
        <v>18</v>
      </c>
      <c r="C23" s="12" t="s">
        <v>399</v>
      </c>
    </row>
    <row r="24" spans="1:8" ht="28.5">
      <c r="A24" s="13" t="s">
        <v>400</v>
      </c>
      <c r="B24" s="26">
        <v>67</v>
      </c>
      <c r="C24" s="14" t="s">
        <v>401</v>
      </c>
    </row>
  </sheetData>
  <mergeCells count="1">
    <mergeCell ref="A1:H2"/>
  </mergeCells>
  <conditionalFormatting sqref="C5:C18">
    <cfRule type="expression" dxfId="1" priority="1">
      <formula>C5="MUST"</formula>
    </cfRule>
    <cfRule type="expression" dxfId="0" priority="2">
      <formula>C5="SHOULD"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00_Couverture</vt:lpstr>
      <vt:lpstr>01_Identification</vt:lpstr>
      <vt:lpstr>02_Release_Planning</vt:lpstr>
      <vt:lpstr>03_Burnup</vt:lpstr>
      <vt:lpstr>04_Auto-évaluation</vt:lpstr>
      <vt:lpstr>05_Écarts_à_valider</vt:lpstr>
      <vt:lpstr>06_Traceabilité_CJ</vt:lpstr>
      <vt:lpstr>07_Modifications</vt:lpstr>
      <vt:lpstr>08_Périmètre_Stories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That Guy Digg</cp:lastModifiedBy>
  <dcterms:modified xsi:type="dcterms:W3CDTF">2026-07-01T13:43:57Z</dcterms:modified>
</cp:coreProperties>
</file>