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lysse\Documents\APOCALIPSSI 2026\"/>
    </mc:Choice>
  </mc:AlternateContent>
  <xr:revisionPtr revIDLastSave="0" documentId="13_ncr:1_{6F4633A7-F4B8-4D58-B68A-342385616262}" xr6:coauthVersionLast="47" xr6:coauthVersionMax="47" xr10:uidLastSave="{00000000-0000-0000-0000-000000000000}"/>
  <bookViews>
    <workbookView xWindow="-120" yWindow="-120" windowWidth="29040" windowHeight="15720" firstSheet="1" activeTab="1" xr2:uid="{00000000-000D-0000-FFFF-FFFF00000000}"/>
  </bookViews>
  <sheets>
    <sheet name="00_Couverture" sheetId="1" r:id="rId1"/>
    <sheet name="01_Identification" sheetId="2" r:id="rId2"/>
    <sheet name="02_Release_Planning" sheetId="3" r:id="rId3"/>
    <sheet name="03_Burnup" sheetId="4" r:id="rId4"/>
    <sheet name="04_Auto-évaluation" sheetId="5" r:id="rId5"/>
    <sheet name="05_Écarts_à_valider" sheetId="6" r:id="rId6"/>
    <sheet name="06_Traceabilité_SM" sheetId="7" r:id="rId7"/>
    <sheet name="07_Modifications" sheetId="8" r:id="rId8"/>
    <sheet name="08_Périmètre_Stories" sheetId="9" r:id="rId9"/>
    <sheet name="09_Risques_J4" sheetId="10" r:id="rId10"/>
    <sheet name="10_Décisions_Source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10" l="1"/>
  <c r="E9" i="10"/>
  <c r="E8" i="10"/>
  <c r="E7" i="10"/>
  <c r="E6" i="10"/>
  <c r="B51" i="9"/>
  <c r="B50" i="9"/>
  <c r="B48" i="9"/>
  <c r="B46" i="9"/>
  <c r="B45" i="9"/>
  <c r="B47" i="9" s="1"/>
  <c r="B49" i="9" s="1"/>
  <c r="B44" i="9"/>
  <c r="G15" i="7"/>
  <c r="E15" i="7"/>
  <c r="D15" i="7"/>
  <c r="C15" i="7"/>
  <c r="B22" i="4"/>
  <c r="B20" i="4"/>
  <c r="D7" i="4"/>
  <c r="D8" i="4" s="1"/>
  <c r="D9" i="4" s="1"/>
  <c r="D10" i="4" s="1"/>
  <c r="D11" i="4" s="1"/>
  <c r="D12" i="4" s="1"/>
  <c r="D13" i="4" s="1"/>
  <c r="D6" i="4"/>
  <c r="B31" i="3"/>
  <c r="B29" i="3"/>
  <c r="B27" i="3"/>
  <c r="B26" i="3"/>
  <c r="B21" i="4" l="1"/>
  <c r="B23" i="4" s="1"/>
  <c r="B19" i="4"/>
  <c r="D14" i="4"/>
  <c r="D15" i="4" s="1"/>
</calcChain>
</file>

<file path=xl/sharedStrings.xml><?xml version="1.0" encoding="utf-8"?>
<sst xmlns="http://schemas.openxmlformats.org/spreadsheetml/2006/main" count="844" uniqueCount="545">
  <si>
    <t>A
APOCAL'IPSSI</t>
  </si>
  <si>
    <t>RELEASE PLANNING FINAL</t>
  </si>
  <si>
    <t>Version post-J4 · Release 1 publiée · Roadmap Releases 2 et 3</t>
  </si>
  <si>
    <t>Release 1 cible : 91 SP · Livrés : 41 SP · Report prioritaire : 50 SP · Scope actif : 187 SP</t>
  </si>
  <si>
    <t>Projet EduTutor IA · Édition 2026 · Semaine immersive Scrum
Équipe 22 · Version v4.0 · Baseline finale post-J4</t>
  </si>
  <si>
    <t>IDENTIFICATION DU DOCUMENT</t>
  </si>
  <si>
    <t>Baseline finale post-J4 et après publication de la Release 1</t>
  </si>
  <si>
    <t>Équipe n°</t>
  </si>
  <si>
    <t>22</t>
  </si>
  <si>
    <t>Membres</t>
  </si>
  <si>
    <t>Antoine VAUTHIER, Alainpatrick GOMAS, Cleg LOUFOUA, Baptiste MAES, Kyllian VIGNOCAN, Tom LAU, Yacine DJEBBOURI</t>
  </si>
  <si>
    <t>Sprint concerné</t>
  </si>
  <si>
    <t>Clôture J4 / publication Release 1 / roadmap post-hackathon</t>
  </si>
  <si>
    <t>Version</t>
  </si>
  <si>
    <t>v4.0</t>
  </si>
  <si>
    <t>Date de remise</t>
  </si>
  <si>
    <t>02/07/2026</t>
  </si>
  <si>
    <t>Statut</t>
  </si>
  <si>
    <t>Final de pilotage — validation PO de la roadmap à tracer</t>
  </si>
  <si>
    <t>DÉCISIONS DE REPLANIFICATION POST-J4</t>
  </si>
  <si>
    <t>La Story Map finale alignée avec le Product Backlog devient la source de vérité pour la cible produit. La Release 1 cible représente 91 SP, mais la GitHub Release v1.0.0-mvp publiée le 02/07/2026 ne compte que 41 SP acceptés : US-01 à US-07, US-17, US-24 et US-25. Les 50 SP MUST non livrés (US-21, US-23, US-28, US-29, US-30 et US-32) sont conservés comme écart de Release 1 et passent en tête de la prochaine tranche R2A. La Release 2 contient ensuite 57 SP SHOULD, et la Release 3 contient 39 SP COULD.</t>
  </si>
  <si>
    <t>SYNTHÈSE CHIFFRÉE</t>
  </si>
  <si>
    <t>SOURCES DE RÉFÉRENCE</t>
  </si>
  <si>
    <t>Indicateur</t>
  </si>
  <si>
    <t>Valeur</t>
  </si>
  <si>
    <t>Unité</t>
  </si>
  <si>
    <t>Lecture</t>
  </si>
  <si>
    <t>Source</t>
  </si>
  <si>
    <t>Référence</t>
  </si>
  <si>
    <t>Usage</t>
  </si>
  <si>
    <t>Taille équipe</t>
  </si>
  <si>
    <t>personnes</t>
  </si>
  <si>
    <t>Capacité historique conservée</t>
  </si>
  <si>
    <t>Story Map</t>
  </si>
  <si>
    <t>docs/pilotage/Story-map.md</t>
  </si>
  <si>
    <t>Répartition R1 / R2 / R3</t>
  </si>
  <si>
    <t>Scope actif</t>
  </si>
  <si>
    <t>SP</t>
  </si>
  <si>
    <t>Releases 1 à 3, hors Won't</t>
  </si>
  <si>
    <t>Product Backlog</t>
  </si>
  <si>
    <t>docs/pilotage/product-backlog +perturbations j4.docx</t>
  </si>
  <si>
    <t>SP et MoSCoW</t>
  </si>
  <si>
    <t>Release 1 cible</t>
  </si>
  <si>
    <t>MUST de la Story Map finale</t>
  </si>
  <si>
    <t>Risques J4</t>
  </si>
  <si>
    <t>docs/pilotage/analyse_risques.md</t>
  </si>
  <si>
    <t>Matrice et actions</t>
  </si>
  <si>
    <t>Release 1 livrée</t>
  </si>
  <si>
    <t>10 stories comptées dans v1.0.0-mvp</t>
  </si>
  <si>
    <t>Release 1</t>
  </si>
  <si>
    <t>https://github.com/Yue75/IPSSI_APOCAL_KIT/releases/tag/v1.0.0-mvp</t>
  </si>
  <si>
    <t>Tag, date et périmètre publié</t>
  </si>
  <si>
    <t>Écart Release 1</t>
  </si>
  <si>
    <t>Report prioritaire vers R2A</t>
  </si>
  <si>
    <t>Décision équipe</t>
  </si>
  <si>
    <t>Confirmation du 02/07/2026</t>
  </si>
  <si>
    <t>Compter US-07, US-17, US-24 et US-25</t>
  </si>
  <si>
    <t>Release 2 de base</t>
  </si>
  <si>
    <t>SHOULD</t>
  </si>
  <si>
    <t>Release 2 avec report</t>
  </si>
  <si>
    <t>50 SP R1 + 57 SP R2</t>
  </si>
  <si>
    <t>Release 3</t>
  </si>
  <si>
    <t>COULD</t>
  </si>
  <si>
    <t>Won't</t>
  </si>
  <si>
    <t>Hors périmètre actif</t>
  </si>
  <si>
    <t>RELEASE PLANNING FINAL — POST-J4</t>
  </si>
  <si>
    <t>Historique des 7 sprints · Release 1 publiée à 41 SP · 50 SP MUST reportés en priorité</t>
  </si>
  <si>
    <t>Phase</t>
  </si>
  <si>
    <t>Jour / période</t>
  </si>
  <si>
    <t>Horaires</t>
  </si>
  <si>
    <t>Capacité
(h-pers)</t>
  </si>
  <si>
    <t>Objectif</t>
  </si>
  <si>
    <t>Stories prévues / décision</t>
  </si>
  <si>
    <t>Résultat / jalon</t>
  </si>
  <si>
    <t>Cadrage</t>
  </si>
  <si>
    <t>Lundi 29/06</t>
  </si>
  <si>
    <t>9h00–13h30</t>
  </si>
  <si>
    <t>Aligner les artefacts et définir la première baseline.</t>
  </si>
  <si>
    <t>Story Map, Backlog, Release Planning</t>
  </si>
  <si>
    <t>Baseline initiale</t>
  </si>
  <si>
    <t>Sprint 1</t>
  </si>
  <si>
    <t>14h00–18h00</t>
  </si>
  <si>
    <t>Entrée du parcours étudiant.</t>
  </si>
  <si>
    <t>US-01 (3) · US-02 (5)</t>
  </si>
  <si>
    <t>8 SP livrés</t>
  </si>
  <si>
    <t>Sprint 2</t>
  </si>
  <si>
    <t>Mardi 30/06</t>
  </si>
  <si>
    <t>9h00–12h30</t>
  </si>
  <si>
    <t>Générer le quiz de 10 QCM.</t>
  </si>
  <si>
    <t>US-03 (8)</t>
  </si>
  <si>
    <t>16 SP cumulés</t>
  </si>
  <si>
    <t>Sprint 3</t>
  </si>
  <si>
    <t>Soumission, correction, score et historique.</t>
  </si>
  <si>
    <t>US-04 (3) · US-05 (3) · US-06 (3)</t>
  </si>
  <si>
    <t>25 SP cumulés</t>
  </si>
  <si>
    <t>Sprint 4</t>
  </si>
  <si>
    <t>Mercredi 01/07</t>
  </si>
  <si>
    <t>Sécuriser la génération contre les prompt injections.</t>
  </si>
  <si>
    <t>US-24 (5) · US-25 (3) · US-26 (5)</t>
  </si>
  <si>
    <t>US-24/25 comptées ; US-26 reportée</t>
  </si>
  <si>
    <t>Sprint 5</t>
  </si>
  <si>
    <t>RGPD et stabilisation du compte.</t>
  </si>
  <si>
    <t>Plan initial : US-12 (5) · US-27 (3)</t>
  </si>
  <si>
    <t>US-07/17 acceptées dans la Release 1 (+8 SP)</t>
  </si>
  <si>
    <t>Sprint 6 / J4</t>
  </si>
  <si>
    <t>Jeudi 02/07</t>
  </si>
  <si>
    <t>Rebaseliner le produit : accessibilité, i18n, scalabilité.</t>
  </si>
  <si>
    <t>US-28 à US-35 intégrées au scope</t>
  </si>
  <si>
    <t>Scope actif porté de 67 à 187 SP</t>
  </si>
  <si>
    <t>Sprint 7</t>
  </si>
  <si>
    <t>14h00–17h00</t>
  </si>
  <si>
    <t>Finaliser, documenter et préparer la livraison.</t>
  </si>
  <si>
    <t>Clôture, PR, release et artefacts</t>
  </si>
  <si>
    <t>Écart R1 documenté</t>
  </si>
  <si>
    <t>Release 1 publiée</t>
  </si>
  <si>
    <t>14h47</t>
  </si>
  <si>
    <t>n.c.</t>
  </si>
  <si>
    <t>Publier le MVP EduTutor IA.</t>
  </si>
  <si>
    <t>US-01 à US-07 · US-17 · US-24 · US-25</t>
  </si>
  <si>
    <t>Tag v1.0.0-mvp · commit 89ecca2</t>
  </si>
  <si>
    <t>ROADMAP APRÈS LA RELEASE 1</t>
  </si>
  <si>
    <t>Tranche</t>
  </si>
  <si>
    <t>Périmètre</t>
  </si>
  <si>
    <t>Priorité</t>
  </si>
  <si>
    <t>Ordre</t>
  </si>
  <si>
    <t>Estimation en sprints</t>
  </si>
  <si>
    <t>Décision</t>
  </si>
  <si>
    <t>R2A — Report MUST</t>
  </si>
  <si>
    <t>US-21, US-23, US-28, US-29, US-30, US-32</t>
  </si>
  <si>
    <t>MUST</t>
  </si>
  <si>
    <t>5 à 7 sprints à 8–10 SP</t>
  </si>
  <si>
    <t>À engager</t>
  </si>
  <si>
    <t>Écart de la cible Release 1</t>
  </si>
  <si>
    <t>R2B — SHOULD</t>
  </si>
  <si>
    <t>US-08, US-09, US-10, US-11, US-12, US-22, US-26, US-27, US-31, US-33, US-34</t>
  </si>
  <si>
    <t>6 à 8 sprints à 8–10 SP</t>
  </si>
  <si>
    <t>Roadmap</t>
  </si>
  <si>
    <t>Release 2 de la Story Map</t>
  </si>
  <si>
    <t>US-13, US-14, US-15, US-16, US-35</t>
  </si>
  <si>
    <t>4 à 5 sprints à 8–10 SP</t>
  </si>
  <si>
    <t>Optionnel après stabilisation</t>
  </si>
  <si>
    <t>SYNTHÈSE DU PÉRIMÈTRE</t>
  </si>
  <si>
    <t>Arbitrage final : la Release 1 est officiellement publiée, mais elle n'atteint pas sa cible de 91 SP. Le Burnup conserve donc 41 SP comme réalisé et matérialise un écart de 50 SP. Ces 50 SP restent classés MUST et forment la tranche R2A avant les 57 SP SHOULD de la Release 2. Aucune date ferme n'est engagée pour les Releases 2 et 3 ; les estimations en sprints sont indicatives et devront être validées lors d'un prochain Sprint Planning.</t>
  </si>
  <si>
    <t>MUST Story Map</t>
  </si>
  <si>
    <t>v1.0.0-mvp</t>
  </si>
  <si>
    <t>Taux de complétion R1</t>
  </si>
  <si>
    <t>%</t>
  </si>
  <si>
    <t>Livré / cible</t>
  </si>
  <si>
    <t>Report R1</t>
  </si>
  <si>
    <t>À traiter en priorité</t>
  </si>
  <si>
    <t>Release 2 opérationnelle</t>
  </si>
  <si>
    <t>Report R1 + R2</t>
  </si>
  <si>
    <t>R1 + R2 + R3</t>
  </si>
  <si>
    <t>Backlog total</t>
  </si>
  <si>
    <t>Inclut 47 SP Won't</t>
  </si>
  <si>
    <t>BURNUP PROJET — BASELINE POST-J4</t>
  </si>
  <si>
    <t>Le scope passe de 67 à 187 SP à J4 ; la Release 1 publiée comptabilise 41 SP réalisés sur 91 SP ciblés</t>
  </si>
  <si>
    <t>Jalon</t>
  </si>
  <si>
    <t>Date / heure</t>
  </si>
  <si>
    <t>Incrément planifié</t>
  </si>
  <si>
    <t>Planifié cumulé</t>
  </si>
  <si>
    <t>Réel cumulé
(à date)</t>
  </si>
  <si>
    <t>Scope total</t>
  </si>
  <si>
    <t>Sprint 0 — baseline</t>
  </si>
  <si>
    <t>29/06 13h30</t>
  </si>
  <si>
    <t>29/06 18h00</t>
  </si>
  <si>
    <t>30/06 12h30</t>
  </si>
  <si>
    <t>30/06 18h00</t>
  </si>
  <si>
    <t>Sprint 4 — J3</t>
  </si>
  <si>
    <t>01/07 12h30</t>
  </si>
  <si>
    <t>Sprint 5 — J3-bis</t>
  </si>
  <si>
    <t>01/07 18h00</t>
  </si>
  <si>
    <t>J4 — rebaseline</t>
  </si>
  <si>
    <t>02/07 10h00</t>
  </si>
  <si>
    <t>02/07 14h47</t>
  </si>
  <si>
    <t>Cible Release 2</t>
  </si>
  <si>
    <t>Cible Release 3</t>
  </si>
  <si>
    <t>INDICATEURS DE LECTURE</t>
  </si>
  <si>
    <t>Taux d'achèvement R1</t>
  </si>
  <si>
    <t>41 / 91</t>
  </si>
  <si>
    <t>Taux d'achèvement scope actif</t>
  </si>
  <si>
    <t>41 / 187</t>
  </si>
  <si>
    <t>Écart R1</t>
  </si>
  <si>
    <t>91 - 41</t>
  </si>
  <si>
    <t>Reste actif total</t>
  </si>
  <si>
    <t>187 - 41</t>
  </si>
  <si>
    <t>Lecture : la courbe de scope monte de 67 à 187 SP à la perturbation J4. La courbe réelle s'arrête à 41 SP après la publication de v1.0.0-mvp. Les objectifs cumulés restent 91 SP pour la cible R1, 148 SP pour R1 + R2, puis 187 SP pour R1 + R2 + R3.</t>
  </si>
  <si>
    <t>Charge R2 avec report</t>
  </si>
  <si>
    <t>50 + 57</t>
  </si>
  <si>
    <t>Scope Won't</t>
  </si>
  <si>
    <t>Hors courbe du scope actif</t>
  </si>
  <si>
    <t>GRILLE D'AUTO-ÉVALUATION</t>
  </si>
  <si>
    <t>Contrôle final du Release Planning v4.0</t>
  </si>
  <si>
    <t>Critère qualité</t>
  </si>
  <si>
    <t>Évaluation</t>
  </si>
  <si>
    <t>Preuve</t>
  </si>
  <si>
    <t>Action restante</t>
  </si>
  <si>
    <t>Les 35 User Stories sont tracées avec leur priorité, SP et release.</t>
  </si>
  <si>
    <t>Oui</t>
  </si>
  <si>
    <t>Feuille 08_Périmètre_Stories</t>
  </si>
  <si>
    <t>La Story Map finale est alignée avec la répartition R1/R2/R3.</t>
  </si>
  <si>
    <t>Feuilles 06 et 08</t>
  </si>
  <si>
    <t>US-07 et US-17 sont traitées comme MUST en Release 1.</t>
  </si>
  <si>
    <t>Décision équipe intégrée</t>
  </si>
  <si>
    <t>Mettre à jour le Product Backlog source</t>
  </si>
  <si>
    <t>US-30 est limitée à FR/EN.</t>
  </si>
  <si>
    <t>Story Map finale</t>
  </si>
  <si>
    <t>Mettre à jour les critères d'acceptation</t>
  </si>
  <si>
    <t>La Release 1 publiée est identifiée avec tag, commit et date.</t>
  </si>
  <si>
    <t>v1.0.0-mvp · 89ecca2 · 02/07/2026</t>
  </si>
  <si>
    <t>Le réalisé R1 est calculé sans compter les stories non acceptées.</t>
  </si>
  <si>
    <t>41 SP : US-01 à 07, US-17, US-24, US-25</t>
  </si>
  <si>
    <t>L'écart de 50 SP de la cible R1 est visible et priorisé.</t>
  </si>
  <si>
    <t>R2A — report MUST</t>
  </si>
  <si>
    <t>Le scope J4 est intégré au Burnup.</t>
  </si>
  <si>
    <t>Scope 67 → 187 SP</t>
  </si>
  <si>
    <t>La matrice de risques J4 est chiffrée et liée au Backlog.</t>
  </si>
  <si>
    <t>Feuille 09_Risques_J4</t>
  </si>
  <si>
    <t>Les Releases 2 et 3 sont dimensionnées.</t>
  </si>
  <si>
    <t>107 SP opérationnels puis 39 SP</t>
  </si>
  <si>
    <t>Valider la cadence future</t>
  </si>
  <si>
    <t>La roadmap mise à jour a été validée par le PO.</t>
  </si>
  <si>
    <t>Partiel</t>
  </si>
  <si>
    <t>Faire valider le report et les prochaines dates</t>
  </si>
  <si>
    <t>ÉCARTS ET POINTS DE VIGILANCE</t>
  </si>
  <si>
    <t>Écarts entre la cible de la Story Map, le Product Backlog et la livraison réelle</t>
  </si>
  <si>
    <t>Écart constaté</t>
  </si>
  <si>
    <t>Décision actuelle</t>
  </si>
  <si>
    <t>Action attendue</t>
  </si>
  <si>
    <t>Impact</t>
  </si>
  <si>
    <t>Critique</t>
  </si>
  <si>
    <t>La cible R1 vaut 91 SP, mais v1.0.0-mvp n'en livre que 41.</t>
  </si>
  <si>
    <t>Conserver 41 SP réalisés et reporter 50 SP en R2A.</t>
  </si>
  <si>
    <t>Faire valider l'écart par le PO.</t>
  </si>
  <si>
    <t>R1 complétée à 45,1 %.</t>
  </si>
  <si>
    <t>Ouvert</t>
  </si>
  <si>
    <t>Haute</t>
  </si>
  <si>
    <t>Le Product Backlog annonce encore 20 stories / 6 epics alors qu'il contient 35 US / 9 activités.</t>
  </si>
  <si>
    <t>Le planning utilise les 35 US réelles.</t>
  </si>
  <si>
    <t>Corriger les métadonnées du document source.</t>
  </si>
  <si>
    <t>Risque de lecture erronée.</t>
  </si>
  <si>
    <t>US-07 et US-17 restent SHOULD/COULD dans le Backlog alors que la Story Map finale les place MUST.</t>
  </si>
  <si>
    <t>Priorité MUST retenue.</t>
  </si>
  <si>
    <t>Mettre à jour le Product Backlog.</t>
  </si>
  <si>
    <t>Affecte la cohérence MoSCoW.</t>
  </si>
  <si>
    <t>Décidé</t>
  </si>
  <si>
    <t>US-21 et US-23 sont ciblées R1 mais non comptées dans la Release publiée.</t>
  </si>
  <si>
    <t>Report R2A.</t>
  </si>
  <si>
    <t>Planifier et faire accepter les stories.</t>
  </si>
  <si>
    <t>+16 SP à reprendre.</t>
  </si>
  <si>
    <t>US-28, US-29, US-30 et US-32 sont ciblées R1 mais non livrées.</t>
  </si>
  <si>
    <t>Créer critères détaillés, tests et preuves.</t>
  </si>
  <si>
    <t>+34 SP à reprendre.</t>
  </si>
  <si>
    <t>Moyenne</t>
  </si>
  <si>
    <t>US-28, US-31, US-32 et US-33 ont des descriptions incomplètes dans le Backlog.</t>
  </si>
  <si>
    <t>Conserver les estimations actuelles.</t>
  </si>
  <si>
    <t>Compléter les formulations INVEST et G/W/T.</t>
  </si>
  <si>
    <t>DoR non satisfaite.</t>
  </si>
  <si>
    <t>US-30 était FR/EN/ES dans une version intermédiaire.</t>
  </si>
  <si>
    <t>FR/EN seulement.</t>
  </si>
  <si>
    <t>Retirer ES de tous les artefacts.</t>
  </si>
  <si>
    <t>Réduit le périmètre fonctionnel.</t>
  </si>
  <si>
    <t>US-12, US-26 et US-27 ne sont pas comptées dans le réalisé R1.</t>
  </si>
  <si>
    <t>Elles restent en Release 2.</t>
  </si>
  <si>
    <t>Valider leur Done avant comptage.</t>
  </si>
  <si>
    <t>13 SP différés.</t>
  </si>
  <si>
    <t>La Release 2 opérationnelle atteint 107 SP avec le report MUST.</t>
  </si>
  <si>
    <t>Découper R2A puis R2B.</t>
  </si>
  <si>
    <t>Planifier environ 11 à 14 sprints à 8–10 SP.</t>
  </si>
  <si>
    <t>Pas de date ferme.</t>
  </si>
  <si>
    <t>Basse</t>
  </si>
  <si>
    <t>Les dates des Releases 2 et 3 ne sont pas définies.</t>
  </si>
  <si>
    <t>Roadmap sans engagement de date.</t>
  </si>
  <si>
    <t>Décider après mesure de vélocité réelle.</t>
  </si>
  <si>
    <t>Prévision seulement.</t>
  </si>
  <si>
    <t>TRAÇABILITÉ STORY MAP → RELEASES</t>
  </si>
  <si>
    <t>Vue par activité : cible R1, livré réel, reports et roadmap</t>
  </si>
  <si>
    <t>Activité</t>
  </si>
  <si>
    <t>Stories R1</t>
  </si>
  <si>
    <t>R1 cible</t>
  </si>
  <si>
    <t>R1 livré</t>
  </si>
  <si>
    <t>Stories R2</t>
  </si>
  <si>
    <t>SP R2</t>
  </si>
  <si>
    <t>Stories R3 / Won't</t>
  </si>
  <si>
    <t>1. S'inscrire / Se connecter</t>
  </si>
  <si>
    <t>US-01, US-07</t>
  </si>
  <si>
    <t>—</t>
  </si>
  <si>
    <t>R3: US-13 · Won't: US-18</t>
  </si>
  <si>
    <t>Cible R1 atteinte</t>
  </si>
  <si>
    <t>2. Importer un cours</t>
  </si>
  <si>
    <t>US-02</t>
  </si>
  <si>
    <t>US-08</t>
  </si>
  <si>
    <t>R3: US-14</t>
  </si>
  <si>
    <t>3. Générer un quiz</t>
  </si>
  <si>
    <t>US-03, US-21, US-24, US-25</t>
  </si>
  <si>
    <t>US-09</t>
  </si>
  <si>
    <t>R3: US-15 · Won't: US-19</t>
  </si>
  <si>
    <t>US-21 reportée</t>
  </si>
  <si>
    <t>4. Passer le quiz</t>
  </si>
  <si>
    <t>US-04, US-05, US-23</t>
  </si>
  <si>
    <t>US-10</t>
  </si>
  <si>
    <t>Won't: US-20</t>
  </si>
  <si>
    <t>US-23 reportée</t>
  </si>
  <si>
    <t>5. Résultats / progression</t>
  </si>
  <si>
    <t>US-06</t>
  </si>
  <si>
    <t>US-11, US-22</t>
  </si>
  <si>
    <t>R3: US-16</t>
  </si>
  <si>
    <t>6. Compte &amp; RGPD</t>
  </si>
  <si>
    <t>US-17</t>
  </si>
  <si>
    <t>US-12, US-26, US-27</t>
  </si>
  <si>
    <t>Suppression comptée ; export/audit en R2</t>
  </si>
  <si>
    <t>7. Accessibilité</t>
  </si>
  <si>
    <t>US-28, US-29</t>
  </si>
  <si>
    <t>Report prioritaire R2A</t>
  </si>
  <si>
    <t>8. Internationalisation</t>
  </si>
  <si>
    <t>US-30</t>
  </si>
  <si>
    <t>US-31</t>
  </si>
  <si>
    <t>FR/EN seulement ; report prioritaire</t>
  </si>
  <si>
    <t>9. Performance / Scalabilité</t>
  </si>
  <si>
    <t>US-32</t>
  </si>
  <si>
    <t>US-33, US-34</t>
  </si>
  <si>
    <t>R3: US-35</t>
  </si>
  <si>
    <t>TOTAL</t>
  </si>
  <si>
    <t>JOURNAL DES MODIFICATIONS — VERSION v4.0</t>
  </si>
  <si>
    <t>Évolutions appliquées depuis la baseline v3.0 post-J3/J3-bis</t>
  </si>
  <si>
    <t>Zone</t>
  </si>
  <si>
    <t>Modification</t>
  </si>
  <si>
    <t>Justification</t>
  </si>
  <si>
    <t>Passage de v3.0 à v4.0 post-J4.</t>
  </si>
  <si>
    <t>Tracer la nouvelle baseline.</t>
  </si>
  <si>
    <t>Document final identifiable.</t>
  </si>
  <si>
    <t>Fait</t>
  </si>
  <si>
    <t>Adoption de la version finale alignée avec le Backlog.</t>
  </si>
  <si>
    <t>Source de vérité équipe.</t>
  </si>
  <si>
    <t>3 releases + Won't.</t>
  </si>
  <si>
    <t>Priorités</t>
  </si>
  <si>
    <t>US-07 et US-17 passent en MUST R1.</t>
  </si>
  <si>
    <t>Décision équipe.</t>
  </si>
  <si>
    <t>+8 SP dans la cible R1.</t>
  </si>
  <si>
    <t>i18n</t>
  </si>
  <si>
    <t>US-30 limitée à FR/EN.</t>
  </si>
  <si>
    <t>Décision collègue / Story Map finale.</t>
  </si>
  <si>
    <t>Espagnol retiré.</t>
  </si>
  <si>
    <t>Scope R1</t>
  </si>
  <si>
    <t>Cible recalculée de 46 à 91 SP.</t>
  </si>
  <si>
    <t>Intégration enseignant + J4.</t>
  </si>
  <si>
    <t>+45 SP cible.</t>
  </si>
  <si>
    <t>Release publiée</t>
  </si>
  <si>
    <t>Ajout de v1.0.0-mvp, commit 89ecca2.</t>
  </si>
  <si>
    <t>Preuve de livraison formelle.</t>
  </si>
  <si>
    <t>Release 1 datée.</t>
  </si>
  <si>
    <t>Réalisé R1</t>
  </si>
  <si>
    <t>Comptage de 41 SP.</t>
  </si>
  <si>
    <t>US-01 à 07, US-17, US-24, US-25.</t>
  </si>
  <si>
    <t>10 stories livrées.</t>
  </si>
  <si>
    <t>Création d'un report prioritaire de 50 SP.</t>
  </si>
  <si>
    <t>Ne pas gonfler le réalisé.</t>
  </si>
  <si>
    <t>Tranche R2A.</t>
  </si>
  <si>
    <t>Release 2</t>
  </si>
  <si>
    <t>57 SP SHOULD + 50 SP reportés.</t>
  </si>
  <si>
    <t>Replanification honnête.</t>
  </si>
  <si>
    <t>107 SP opérationnels.</t>
  </si>
  <si>
    <t>5 stories COULD, 39 SP.</t>
  </si>
  <si>
    <t>Roadmap long terme.</t>
  </si>
  <si>
    <t>Périmètre séparé.</t>
  </si>
  <si>
    <t>Recalcul à 187 SP ; Backlog total à 234 SP.</t>
  </si>
  <si>
    <t>Inclure J4 et exclure Won't du scope actif.</t>
  </si>
  <si>
    <t>Burnup mis à jour.</t>
  </si>
  <si>
    <t>Burnup</t>
  </si>
  <si>
    <t>Scope porté de 67 à 187 SP à J4.</t>
  </si>
  <si>
    <t>Montrer la perturbation.</t>
  </si>
  <si>
    <t>41 SP réels visibles.</t>
  </si>
  <si>
    <t>Ajout d'une matrice Probabilité × Impact.</t>
  </si>
  <si>
    <t>Livrable J4.</t>
  </si>
  <si>
    <t>Actions reliées aux US.</t>
  </si>
  <si>
    <t>PÉRIMÈTRE COMPLET DES USER STORIES</t>
  </si>
  <si>
    <t>35 stories · 187 SP actifs · 47 SP Won't · 234 SP au total</t>
  </si>
  <si>
    <t>ID</t>
  </si>
  <si>
    <t>Intitulé court</t>
  </si>
  <si>
    <t>MoSCoW final</t>
  </si>
  <si>
    <t>Release cible</t>
  </si>
  <si>
    <t>Livrée R1 ?</t>
  </si>
  <si>
    <t>Disposition actuelle</t>
  </si>
  <si>
    <t>Observation</t>
  </si>
  <si>
    <t>US-01</t>
  </si>
  <si>
    <t>Créer un compte</t>
  </si>
  <si>
    <t>R1</t>
  </si>
  <si>
    <t>Livrée v1.0.0-mvp</t>
  </si>
  <si>
    <t>Socle étudiant</t>
  </si>
  <si>
    <t>Importer un PDF ou un texte</t>
  </si>
  <si>
    <t>US-03</t>
  </si>
  <si>
    <t>Générer automatiquement 10 QCM</t>
  </si>
  <si>
    <t>US-04</t>
  </si>
  <si>
    <t>Soumettre les réponses</t>
  </si>
  <si>
    <t>US-05</t>
  </si>
  <si>
    <t>Correction, score et détails</t>
  </si>
  <si>
    <t>Consulter l'historique des quiz</t>
  </si>
  <si>
    <t>US-07</t>
  </si>
  <si>
    <t>Réinitialiser le mot de passe</t>
  </si>
  <si>
    <t>Priorité confirmée par l'équipe</t>
  </si>
  <si>
    <t>Bibliothèque de cours</t>
  </si>
  <si>
    <t>R2</t>
  </si>
  <si>
    <t>Non</t>
  </si>
  <si>
    <t>Roadmap Release 2</t>
  </si>
  <si>
    <t>Difficulté et nombre de questions</t>
  </si>
  <si>
    <t>Mode timer</t>
  </si>
  <si>
    <t>US-11</t>
  </si>
  <si>
    <t>Dashboard progression étudiant</t>
  </si>
  <si>
    <t>US-12</t>
  </si>
  <si>
    <t>Exporter les données en JSON et CSV</t>
  </si>
  <si>
    <t>Non comptée dans la Release 1</t>
  </si>
  <si>
    <t>US-13</t>
  </si>
  <si>
    <t>Connexion Google / Apple OAuth</t>
  </si>
  <si>
    <t>R3</t>
  </si>
  <si>
    <t>Roadmap Release 3</t>
  </si>
  <si>
    <t>US-14</t>
  </si>
  <si>
    <t>Importer un cours depuis une URL</t>
  </si>
  <si>
    <t>US-15</t>
  </si>
  <si>
    <t>Questions ouvertes corrigées par IA</t>
  </si>
  <si>
    <t>US-16</t>
  </si>
  <si>
    <t>Détection automatique des lacunes</t>
  </si>
  <si>
    <t>Supprimer le compte et les données</t>
  </si>
  <si>
    <t>US-18</t>
  </si>
  <si>
    <t>SSO établissement</t>
  </si>
  <si>
    <t>WON'T</t>
  </si>
  <si>
    <t>Hors scope</t>
  </si>
  <si>
    <t>Hors périmètre</t>
  </si>
  <si>
    <t>US-19</t>
  </si>
  <si>
    <t>Chatbot IA conversationnel</t>
  </si>
  <si>
    <t>US-20</t>
  </si>
  <si>
    <t>Mode compétition</t>
  </si>
  <si>
    <t>US-21</t>
  </si>
  <si>
    <t>Enseignant : créer et partager un quiz</t>
  </si>
  <si>
    <t>Écart à la cible R1</t>
  </si>
  <si>
    <t>US-22</t>
  </si>
  <si>
    <t>Dashboard enseignant / résultats de classe</t>
  </si>
  <si>
    <t>US-23</t>
  </si>
  <si>
    <t>Enseignant : correction automatique de classe</t>
  </si>
  <si>
    <t>US-24</t>
  </si>
  <si>
    <t>Protection contre les prompt injections</t>
  </si>
  <si>
    <t>Sécurité J3</t>
  </si>
  <si>
    <t>US-25</t>
  </si>
  <si>
    <t>Validation automatique du quiz généré</t>
  </si>
  <si>
    <t>US-26</t>
  </si>
  <si>
    <t>Tests adversariaux automatiques en CI</t>
  </si>
  <si>
    <t>US-27</t>
  </si>
  <si>
    <t>Journal d'audit RGPD</t>
  </si>
  <si>
    <t>US-28</t>
  </si>
  <si>
    <t>Navigation uniquement au clavier</t>
  </si>
  <si>
    <t>Accessibilité J4</t>
  </si>
  <si>
    <t>US-29</t>
  </si>
  <si>
    <t>Compatibilité RGAA / lecteurs d'écran</t>
  </si>
  <si>
    <t>Changer la langue de l'interface FR / EN</t>
  </si>
  <si>
    <t>Espagnol retiré</t>
  </si>
  <si>
    <t>L'IA répond dans la langue sélectionnée</t>
  </si>
  <si>
    <t>Maintenir de bonnes performances sous forte charge</t>
  </si>
  <si>
    <t>Scalabilité J4</t>
  </si>
  <si>
    <t>US-33</t>
  </si>
  <si>
    <t>Mise en cache</t>
  </si>
  <si>
    <t>US-34</t>
  </si>
  <si>
    <t>Tests de charge</t>
  </si>
  <si>
    <t>US-35</t>
  </si>
  <si>
    <t>Fournisseur LLM de secours</t>
  </si>
  <si>
    <t>SYNTHÈSE FORMULÉE</t>
  </si>
  <si>
    <t>Règle de comptage du réalisé : seuls les éléments explicitement acceptés pour la Release 1 sont marqués « Oui ». Les fonctionnalités présentes partiellement, les travaux techniques non validés ou les stories encore en attente ne sont pas intégrés aux 41 SP. Les 50 SP MUST restants conservent leur cible R1 dans la Story Map, mais leur disposition opérationnelle devient « Report prioritaire vers R2A ».</t>
  </si>
  <si>
    <t>Report Release 1</t>
  </si>
  <si>
    <t>MATRICE DES RISQUES J4</t>
  </si>
  <si>
    <t>Probabilité × Impact · actions préventives reliées au Product Backlog</t>
  </si>
  <si>
    <t>Risque</t>
  </si>
  <si>
    <t>Probabilité
1–3</t>
  </si>
  <si>
    <t>Impact
1–3</t>
  </si>
  <si>
    <t>Exposition</t>
  </si>
  <si>
    <t>Niveau</t>
  </si>
  <si>
    <t>Traitement / action préventive</t>
  </si>
  <si>
    <t>US liées</t>
  </si>
  <si>
    <t>SP liés</t>
  </si>
  <si>
    <t>Afflux massif d'utilisateurs : indisponibilité ou ralentissement.</t>
  </si>
  <si>
    <t>Tests de charge, cache et optimisation d'architecture.</t>
  </si>
  <si>
    <t>US-32, US-33, US-34</t>
  </si>
  <si>
    <t>Non-conformité RGAA empêchant certains utilisateurs d'utiliser la plateforme.</t>
  </si>
  <si>
    <t>Élevé</t>
  </si>
  <si>
    <t>Audit RGAA, navigation clavier, contrastes et lecteurs d'écran.</t>
  </si>
  <si>
    <t>Interface ou réponses IA indisponibles dans la langue de l'utilisateur.</t>
  </si>
  <si>
    <t>Moyen</t>
  </si>
  <si>
    <t>i18n de l'interface et transmission de la langue au LLM.</t>
  </si>
  <si>
    <t>US-30, US-31</t>
  </si>
  <si>
    <t>R4</t>
  </si>
  <si>
    <t>Indisponibilité du fournisseur LLM.</t>
  </si>
  <si>
    <t>Prévoir un fournisseur LLM secondaire.</t>
  </si>
  <si>
    <t>R5</t>
  </si>
  <si>
    <t>Dégradation des performances de la base de données.</t>
  </si>
  <si>
    <t>Optimiser les requêtes, indexer et mettre en cache.</t>
  </si>
  <si>
    <t>RÈGLE DE PRIORISATION</t>
  </si>
  <si>
    <t>Exposition = Probabilité × Impact. Les risques avec un score ≥ 6 sont prioritaires : R1 (9), R2 (6) et R5 (6). Leurs actions sont déjà reliées aux US-28, US-29 et US-32 à US-34. R3 et R4 restent suivis dans les Releases 2 et 3.</t>
  </si>
  <si>
    <t>DÉCISIONS ET SOURCES</t>
  </si>
  <si>
    <t>Journal des arbitrages utilisés pour produire la baseline finale</t>
  </si>
  <si>
    <t>Impact planning</t>
  </si>
  <si>
    <t>D-01</t>
  </si>
  <si>
    <t>La Story Map finale alignée est la source de vérité.</t>
  </si>
  <si>
    <t>Version fournie après correction de l'équipe.</t>
  </si>
  <si>
    <t>R1 91 · R2 57 · R3 39.</t>
  </si>
  <si>
    <t>Validé</t>
  </si>
  <si>
    <t>D-02</t>
  </si>
  <si>
    <t>US-07 et US-17 sont MUST et appartiennent à R1.</t>
  </si>
  <si>
    <t>Confirmation équipe.</t>
  </si>
  <si>
    <t>D-03</t>
  </si>
  <si>
    <t>US-30 couvre uniquement FR/EN.</t>
  </si>
  <si>
    <t>Espagnol retiré par décision équipe.</t>
  </si>
  <si>
    <t>Estimation maintenue à 8 SP.</t>
  </si>
  <si>
    <t>D-04</t>
  </si>
  <si>
    <t>Le réalisé R1 compte US-01 à US-07, US-17, US-24 et US-25.</t>
  </si>
  <si>
    <t>Confirmation utilisateur / équipe.</t>
  </si>
  <si>
    <t>41 SP réalisés.</t>
  </si>
  <si>
    <t>D-05</t>
  </si>
  <si>
    <t>Les autres MUST R1 sont reportées, pas comptées comme livrées.</t>
  </si>
  <si>
    <t>Respect de la DoD et du Burnup réel.</t>
  </si>
  <si>
    <t>50 SP de report.</t>
  </si>
  <si>
    <t>D-06</t>
  </si>
  <si>
    <t>Le report R1 passe avant les SHOULD de R2.</t>
  </si>
  <si>
    <t>Priorité MoSCoW.</t>
  </si>
  <si>
    <t>R2A 50 SP puis R2B 57 SP.</t>
  </si>
  <si>
    <t>D-07</t>
  </si>
  <si>
    <t>Les dates R2/R3 restent ouvertes.</t>
  </si>
  <si>
    <t>Vélocité future non mesurée.</t>
  </si>
  <si>
    <t>Roadmap sans engagement ferme.</t>
  </si>
  <si>
    <t>À valider PO</t>
  </si>
  <si>
    <t>SOURCES</t>
  </si>
  <si>
    <t>Chemin / URL</t>
  </si>
  <si>
    <t>Information utilisée</t>
  </si>
  <si>
    <t>Date de contrôle</t>
  </si>
  <si>
    <t>Fiabilité</t>
  </si>
  <si>
    <t>GitHub Release 1</t>
  </si>
  <si>
    <t>Nom, tag, commit, date et description de la release</t>
  </si>
  <si>
    <t>Primaire</t>
  </si>
  <si>
    <t>docs/pilotage/Story-map.md + version corrigée transmise</t>
  </si>
  <si>
    <t>Répartition des 35 US</t>
  </si>
  <si>
    <t>Équipe</t>
  </si>
  <si>
    <t>Product Backlog J4</t>
  </si>
  <si>
    <t>SP, persona et MoSCoW initiaux</t>
  </si>
  <si>
    <t>Analyse des risques</t>
  </si>
  <si>
    <t>Risques R1 à R5 et actions</t>
  </si>
  <si>
    <t>Archive projet</t>
  </si>
  <si>
    <t>IPSSI_APOCAL_KIT-main(1).zip</t>
  </si>
  <si>
    <t>État documentaire et code livré</t>
  </si>
  <si>
    <t>Snapshot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</si>
</sst>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2">
    <font>
      <sz val="11"/>
      <name val="Carlito"/>
    </font>
    <font>
      <b/>
      <sz val="18"/>
      <color rgb="FFFFFFFF"/>
      <name val="Carlito"/>
    </font>
    <font>
      <b/>
      <sz val="17"/>
      <color rgb="FF1D2D5C"/>
      <name val="Carlito"/>
    </font>
    <font>
      <sz val="12"/>
      <color rgb="FF667799"/>
      <name val="Carlito"/>
    </font>
    <font>
      <b/>
      <sz val="11"/>
      <color rgb="FF1D2D5C"/>
      <name val="Carlito"/>
    </font>
    <font>
      <sz val="11"/>
      <color rgb="FF222B3A"/>
      <name val="Carlito"/>
    </font>
    <font>
      <b/>
      <sz val="15"/>
      <color rgb="FFFFFFFF"/>
      <name val="Carlito"/>
    </font>
    <font>
      <i/>
      <sz val="10"/>
      <color rgb="FF4A5568"/>
      <name val="Carlito"/>
    </font>
    <font>
      <b/>
      <sz val="11"/>
      <color rgb="FFFFFFFF"/>
      <name val="Carlito"/>
    </font>
    <font>
      <sz val="11"/>
      <color rgb="FF24324A"/>
      <name val="Carlito"/>
    </font>
    <font>
      <b/>
      <sz val="11"/>
      <color rgb="FF18A64A"/>
      <name val="Carlito"/>
    </font>
    <font>
      <b/>
      <sz val="11"/>
      <color rgb="FF8A6D00"/>
      <name val="Carlito"/>
    </font>
  </fonts>
  <fills count="15">
    <fill>
      <patternFill patternType="none"/>
    </fill>
    <fill>
      <patternFill patternType="gray125"/>
    </fill>
    <fill>
      <patternFill patternType="solid">
        <fgColor rgb="FF1D2D5C"/>
      </patternFill>
    </fill>
    <fill>
      <patternFill patternType="solid">
        <fgColor rgb="FFFFF2CC"/>
      </patternFill>
    </fill>
    <fill>
      <patternFill patternType="solid">
        <fgColor rgb="FFEAF2F8"/>
      </patternFill>
    </fill>
    <fill>
      <patternFill patternType="solid">
        <fgColor rgb="FF233B73"/>
      </patternFill>
    </fill>
    <fill>
      <patternFill patternType="solid">
        <fgColor rgb="FFFFF8DC"/>
      </patternFill>
    </fill>
    <fill>
      <patternFill patternType="solid">
        <fgColor rgb="FFFFFFFF"/>
      </patternFill>
    </fill>
    <fill>
      <patternFill patternType="solid">
        <fgColor rgb="FFFCE4D6"/>
      </patternFill>
    </fill>
    <fill>
      <patternFill patternType="solid">
        <fgColor rgb="FFD9F2E3"/>
      </patternFill>
    </fill>
    <fill>
      <patternFill patternType="solid">
        <fgColor rgb="FF18A64A"/>
      </patternFill>
    </fill>
    <fill>
      <patternFill patternType="solid">
        <fgColor rgb="FFFCE8E6"/>
      </patternFill>
    </fill>
    <fill>
      <patternFill patternType="solid">
        <fgColor rgb="FFF2F4F7"/>
      </patternFill>
    </fill>
    <fill>
      <patternFill patternType="solid">
        <fgColor rgb="FFF2F4F7"/>
      </patternFill>
    </fill>
    <fill>
      <patternFill patternType="solid">
        <fgColor rgb="FF233B73"/>
      </patternFill>
    </fill>
  </fills>
  <borders count="1">
    <border>
      <left/>
      <right/>
      <top/>
      <bottom/>
      <diagonal/>
    </border>
  </borders>
  <cellStyleXfs count="1">
    <xf numFmtId="0" fontId="0" fillId="0" borderId="0"/>
  </cellStyleXfs>
  <cellXfs count="49">
    <xf numFmtId="0" fontId="0" fillId="0" borderId="0" xfId="0"/>
    <xf numFmtId="0" fontId="4" fillId="4" borderId="0" xfId="0" applyFont="1" applyFill="1"/>
    <xf numFmtId="0" fontId="0" fillId="0" borderId="0" xfId="0" applyAlignment="1">
      <alignment vertical="top" wrapText="1"/>
    </xf>
    <xf numFmtId="0" fontId="8" fillId="5" borderId="0" xfId="0" applyFont="1" applyFill="1" applyAlignment="1">
      <alignment horizontal="left" vertical="center"/>
    </xf>
    <xf numFmtId="0" fontId="8" fillId="2" borderId="0" xfId="0" applyFont="1" applyFill="1"/>
    <xf numFmtId="0" fontId="8" fillId="2" borderId="0" xfId="0" applyFont="1" applyFill="1" applyAlignment="1">
      <alignment horizontal="center" vertical="center" wrapText="1"/>
    </xf>
    <xf numFmtId="1" fontId="0" fillId="0" borderId="0" xfId="0" applyNumberFormat="1" applyAlignment="1">
      <alignment vertical="top" wrapText="1"/>
    </xf>
    <xf numFmtId="0" fontId="0" fillId="3"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6" borderId="0" xfId="0" applyFill="1" applyAlignment="1">
      <alignment vertical="top" wrapText="1"/>
    </xf>
    <xf numFmtId="0" fontId="0" fillId="4" borderId="0" xfId="0" applyFill="1" applyAlignment="1">
      <alignment vertical="top" wrapText="1"/>
    </xf>
    <xf numFmtId="0" fontId="0" fillId="9" borderId="0" xfId="0" applyFill="1" applyAlignment="1">
      <alignment vertical="top" wrapText="1"/>
    </xf>
    <xf numFmtId="0" fontId="8" fillId="10" borderId="0" xfId="0" applyFont="1" applyFill="1" applyAlignment="1">
      <alignment vertical="top" wrapText="1"/>
    </xf>
    <xf numFmtId="164" fontId="0" fillId="3" borderId="0" xfId="0" applyNumberFormat="1" applyFill="1" applyAlignment="1">
      <alignment vertical="top" wrapText="1"/>
    </xf>
    <xf numFmtId="164" fontId="0" fillId="7" borderId="0" xfId="0" applyNumberFormat="1" applyFill="1" applyAlignment="1">
      <alignment vertical="top" wrapText="1"/>
    </xf>
    <xf numFmtId="164" fontId="0" fillId="8" borderId="0" xfId="0" applyNumberFormat="1" applyFill="1" applyAlignment="1">
      <alignment vertical="top" wrapText="1"/>
    </xf>
    <xf numFmtId="164" fontId="0" fillId="6" borderId="0" xfId="0" applyNumberFormat="1" applyFill="1" applyAlignment="1">
      <alignment vertical="top" wrapText="1"/>
    </xf>
    <xf numFmtId="164" fontId="0" fillId="4" borderId="0" xfId="0" applyNumberFormat="1" applyFill="1" applyAlignment="1">
      <alignment vertical="top" wrapText="1"/>
    </xf>
    <xf numFmtId="164" fontId="0" fillId="9" borderId="0" xfId="0" applyNumberFormat="1" applyFill="1" applyAlignment="1">
      <alignment vertical="top" wrapText="1"/>
    </xf>
    <xf numFmtId="1" fontId="0" fillId="3" borderId="0" xfId="0" applyNumberFormat="1" applyFill="1" applyAlignment="1">
      <alignment vertical="top" wrapText="1"/>
    </xf>
    <xf numFmtId="1" fontId="0" fillId="7" borderId="0" xfId="0" applyNumberFormat="1" applyFill="1" applyAlignment="1">
      <alignment vertical="top" wrapText="1"/>
    </xf>
    <xf numFmtId="1" fontId="0" fillId="8" borderId="0" xfId="0" applyNumberFormat="1" applyFill="1" applyAlignment="1">
      <alignment vertical="top" wrapText="1"/>
    </xf>
    <xf numFmtId="1" fontId="0" fillId="6" borderId="0" xfId="0" applyNumberFormat="1" applyFill="1" applyAlignment="1">
      <alignment vertical="top" wrapText="1"/>
    </xf>
    <xf numFmtId="1" fontId="0" fillId="4" borderId="0" xfId="0" applyNumberFormat="1" applyFill="1" applyAlignment="1">
      <alignment vertical="top" wrapText="1"/>
    </xf>
    <xf numFmtId="1" fontId="0" fillId="9" borderId="0" xfId="0" applyNumberFormat="1" applyFill="1" applyAlignment="1">
      <alignment vertical="top" wrapText="1"/>
    </xf>
    <xf numFmtId="0" fontId="0" fillId="11" borderId="0" xfId="0" applyFill="1" applyAlignment="1">
      <alignment vertical="top" wrapText="1"/>
    </xf>
    <xf numFmtId="0" fontId="0" fillId="12" borderId="0" xfId="0" applyFill="1" applyAlignment="1">
      <alignment vertical="top" wrapText="1"/>
    </xf>
    <xf numFmtId="1" fontId="0" fillId="0" borderId="0" xfId="0" applyNumberFormat="1"/>
    <xf numFmtId="165" fontId="0" fillId="0" borderId="0" xfId="0" applyNumberFormat="1"/>
    <xf numFmtId="165" fontId="0" fillId="0" borderId="0" xfId="0" applyNumberFormat="1" applyAlignment="1">
      <alignment vertical="top" wrapText="1"/>
    </xf>
    <xf numFmtId="0" fontId="10" fillId="9" borderId="0" xfId="0" applyFont="1" applyFill="1" applyAlignment="1">
      <alignment vertical="top" wrapText="1"/>
    </xf>
    <xf numFmtId="0" fontId="11" fillId="6" borderId="0" xfId="0" applyFont="1" applyFill="1" applyAlignment="1">
      <alignment vertical="top" wrapText="1"/>
    </xf>
    <xf numFmtId="1" fontId="8" fillId="2" borderId="0" xfId="0" applyNumberFormat="1" applyFont="1" applyFill="1"/>
    <xf numFmtId="1" fontId="0" fillId="11" borderId="0" xfId="0" applyNumberFormat="1" applyFill="1" applyAlignment="1">
      <alignment vertical="top" wrapText="1"/>
    </xf>
    <xf numFmtId="1" fontId="0" fillId="13" borderId="0" xfId="0" applyNumberFormat="1" applyFill="1" applyAlignment="1">
      <alignment vertical="top" wrapText="1"/>
    </xf>
    <xf numFmtId="0" fontId="1" fillId="2" borderId="0" xfId="0" applyFont="1" applyFill="1" applyAlignment="1">
      <alignment horizontal="center" vertical="center" wrapText="1"/>
    </xf>
    <xf numFmtId="0" fontId="2" fillId="0" borderId="0" xfId="0" applyFont="1" applyAlignment="1">
      <alignment horizontal="center"/>
    </xf>
    <xf numFmtId="0" fontId="3" fillId="0" borderId="0" xfId="0" applyFont="1" applyAlignment="1">
      <alignment horizontal="center"/>
    </xf>
    <xf numFmtId="0" fontId="4" fillId="3" borderId="0" xfId="0" applyFont="1" applyFill="1" applyAlignment="1">
      <alignment horizontal="center" vertical="center"/>
    </xf>
    <xf numFmtId="0" fontId="5" fillId="0" borderId="0" xfId="0" applyFont="1" applyAlignment="1">
      <alignment horizontal="center" vertical="center" wrapText="1"/>
    </xf>
    <xf numFmtId="0" fontId="6" fillId="2" borderId="0" xfId="0" applyFont="1" applyFill="1" applyAlignment="1">
      <alignment horizontal="center" vertical="center" wrapText="1"/>
    </xf>
    <xf numFmtId="0" fontId="0" fillId="0" borderId="0" xfId="0"/>
    <xf numFmtId="0" fontId="7" fillId="0" borderId="0" xfId="0" applyFont="1" applyAlignment="1">
      <alignment horizontal="center" vertical="center" wrapText="1"/>
    </xf>
    <xf numFmtId="0" fontId="8" fillId="5" borderId="0" xfId="0" applyFont="1" applyFill="1" applyAlignment="1">
      <alignment horizontal="left" vertical="center"/>
    </xf>
    <xf numFmtId="0" fontId="9" fillId="6" borderId="0" xfId="0" applyFont="1" applyFill="1" applyAlignment="1">
      <alignment vertical="top" wrapText="1"/>
    </xf>
    <xf numFmtId="0" fontId="0" fillId="6" borderId="0" xfId="0" applyFill="1" applyAlignment="1">
      <alignment vertical="top" wrapText="1"/>
    </xf>
    <xf numFmtId="0" fontId="8" fillId="14" borderId="0" xfId="0" applyFont="1" applyFill="1" applyAlignment="1">
      <alignment horizontal="left" vertical="center"/>
    </xf>
    <xf numFmtId="0" fontId="8" fillId="6"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a:lstStyle/>
          <a:p>
            <a:r>
              <a:rPr lang="fr-FR"/>
              <a:t>Burnup projet post-J4</a:t>
            </a:r>
          </a:p>
        </c:rich>
      </c:tx>
      <c:overlay val="0"/>
    </c:title>
    <c:autoTitleDeleted val="0"/>
    <c:plotArea>
      <c:layout/>
      <c:lineChart>
        <c:grouping val="standard"/>
        <c:varyColors val="0"/>
        <c:ser>
          <c:idx val="0"/>
          <c:order val="0"/>
          <c:tx>
            <c:v>Planifié cumulé</c:v>
          </c:tx>
          <c:cat>
            <c:strRef>
              <c:f>'03_Burnup'!$A$6:$A$15</c:f>
              <c:strCache>
                <c:ptCount val="10"/>
                <c:pt idx="0">
                  <c:v>Sprint 0 — baseline</c:v>
                </c:pt>
                <c:pt idx="1">
                  <c:v>Sprint 1</c:v>
                </c:pt>
                <c:pt idx="2">
                  <c:v>Sprint 2</c:v>
                </c:pt>
                <c:pt idx="3">
                  <c:v>Sprint 3</c:v>
                </c:pt>
                <c:pt idx="4">
                  <c:v>Sprint 4 — J3</c:v>
                </c:pt>
                <c:pt idx="5">
                  <c:v>Sprint 5 — J3-bis</c:v>
                </c:pt>
                <c:pt idx="6">
                  <c:v>J4 — rebaseline</c:v>
                </c:pt>
                <c:pt idx="7">
                  <c:v>Release 1 publiée</c:v>
                </c:pt>
                <c:pt idx="8">
                  <c:v>Cible Release 2</c:v>
                </c:pt>
                <c:pt idx="9">
                  <c:v>Cible Release 3</c:v>
                </c:pt>
              </c:strCache>
            </c:strRef>
          </c:cat>
          <c:val>
            <c:numRef>
              <c:f>'03_Burnup'!$D$6:$D$15</c:f>
              <c:numCache>
                <c:formatCode>0</c:formatCode>
                <c:ptCount val="10"/>
                <c:pt idx="0">
                  <c:v>0</c:v>
                </c:pt>
                <c:pt idx="1">
                  <c:v>8</c:v>
                </c:pt>
                <c:pt idx="2">
                  <c:v>16</c:v>
                </c:pt>
                <c:pt idx="3">
                  <c:v>25</c:v>
                </c:pt>
                <c:pt idx="4">
                  <c:v>38</c:v>
                </c:pt>
                <c:pt idx="5">
                  <c:v>46</c:v>
                </c:pt>
                <c:pt idx="6">
                  <c:v>91</c:v>
                </c:pt>
                <c:pt idx="7">
                  <c:v>91</c:v>
                </c:pt>
                <c:pt idx="8">
                  <c:v>148</c:v>
                </c:pt>
                <c:pt idx="9">
                  <c:v>187</c:v>
                </c:pt>
              </c:numCache>
            </c:numRef>
          </c:val>
          <c:smooth val="0"/>
          <c:extLst>
            <c:ext xmlns:c16="http://schemas.microsoft.com/office/drawing/2014/chart" uri="{C3380CC4-5D6E-409C-BE32-E72D297353CC}">
              <c16:uniqueId val="{00000000-F997-47C8-8FFF-A8972962AD8E}"/>
            </c:ext>
          </c:extLst>
        </c:ser>
        <c:ser>
          <c:idx val="1"/>
          <c:order val="1"/>
          <c:tx>
            <c:v>Réel cumulé</c:v>
          </c:tx>
          <c:cat>
            <c:strRef>
              <c:f>'03_Burnup'!$A$6:$A$15</c:f>
              <c:strCache>
                <c:ptCount val="10"/>
                <c:pt idx="0">
                  <c:v>Sprint 0 — baseline</c:v>
                </c:pt>
                <c:pt idx="1">
                  <c:v>Sprint 1</c:v>
                </c:pt>
                <c:pt idx="2">
                  <c:v>Sprint 2</c:v>
                </c:pt>
                <c:pt idx="3">
                  <c:v>Sprint 3</c:v>
                </c:pt>
                <c:pt idx="4">
                  <c:v>Sprint 4 — J3</c:v>
                </c:pt>
                <c:pt idx="5">
                  <c:v>Sprint 5 — J3-bis</c:v>
                </c:pt>
                <c:pt idx="6">
                  <c:v>J4 — rebaseline</c:v>
                </c:pt>
                <c:pt idx="7">
                  <c:v>Release 1 publiée</c:v>
                </c:pt>
                <c:pt idx="8">
                  <c:v>Cible Release 2</c:v>
                </c:pt>
                <c:pt idx="9">
                  <c:v>Cible Release 3</c:v>
                </c:pt>
              </c:strCache>
            </c:strRef>
          </c:cat>
          <c:val>
            <c:numRef>
              <c:f>'03_Burnup'!$E$6:$E$15</c:f>
              <c:numCache>
                <c:formatCode>0</c:formatCode>
                <c:ptCount val="10"/>
                <c:pt idx="0">
                  <c:v>0</c:v>
                </c:pt>
                <c:pt idx="1">
                  <c:v>8</c:v>
                </c:pt>
                <c:pt idx="2">
                  <c:v>16</c:v>
                </c:pt>
                <c:pt idx="3">
                  <c:v>25</c:v>
                </c:pt>
                <c:pt idx="4">
                  <c:v>33</c:v>
                </c:pt>
                <c:pt idx="5">
                  <c:v>41</c:v>
                </c:pt>
                <c:pt idx="6">
                  <c:v>41</c:v>
                </c:pt>
                <c:pt idx="7">
                  <c:v>41</c:v>
                </c:pt>
                <c:pt idx="8">
                  <c:v>41</c:v>
                </c:pt>
                <c:pt idx="9">
                  <c:v>41</c:v>
                </c:pt>
              </c:numCache>
            </c:numRef>
          </c:val>
          <c:smooth val="0"/>
          <c:extLst>
            <c:ext xmlns:c16="http://schemas.microsoft.com/office/drawing/2014/chart" uri="{C3380CC4-5D6E-409C-BE32-E72D297353CC}">
              <c16:uniqueId val="{00000001-F997-47C8-8FFF-A8972962AD8E}"/>
            </c:ext>
          </c:extLst>
        </c:ser>
        <c:ser>
          <c:idx val="2"/>
          <c:order val="2"/>
          <c:tx>
            <c:v>Scope total</c:v>
          </c:tx>
          <c:cat>
            <c:strRef>
              <c:f>'03_Burnup'!$A$6:$A$15</c:f>
              <c:strCache>
                <c:ptCount val="10"/>
                <c:pt idx="0">
                  <c:v>Sprint 0 — baseline</c:v>
                </c:pt>
                <c:pt idx="1">
                  <c:v>Sprint 1</c:v>
                </c:pt>
                <c:pt idx="2">
                  <c:v>Sprint 2</c:v>
                </c:pt>
                <c:pt idx="3">
                  <c:v>Sprint 3</c:v>
                </c:pt>
                <c:pt idx="4">
                  <c:v>Sprint 4 — J3</c:v>
                </c:pt>
                <c:pt idx="5">
                  <c:v>Sprint 5 — J3-bis</c:v>
                </c:pt>
                <c:pt idx="6">
                  <c:v>J4 — rebaseline</c:v>
                </c:pt>
                <c:pt idx="7">
                  <c:v>Release 1 publiée</c:v>
                </c:pt>
                <c:pt idx="8">
                  <c:v>Cible Release 2</c:v>
                </c:pt>
                <c:pt idx="9">
                  <c:v>Cible Release 3</c:v>
                </c:pt>
              </c:strCache>
            </c:strRef>
          </c:cat>
          <c:val>
            <c:numRef>
              <c:f>'03_Burnup'!$F$6:$F$15</c:f>
              <c:numCache>
                <c:formatCode>0</c:formatCode>
                <c:ptCount val="10"/>
                <c:pt idx="0">
                  <c:v>67</c:v>
                </c:pt>
                <c:pt idx="1">
                  <c:v>67</c:v>
                </c:pt>
                <c:pt idx="2">
                  <c:v>67</c:v>
                </c:pt>
                <c:pt idx="3">
                  <c:v>67</c:v>
                </c:pt>
                <c:pt idx="4">
                  <c:v>67</c:v>
                </c:pt>
                <c:pt idx="5">
                  <c:v>67</c:v>
                </c:pt>
                <c:pt idx="6">
                  <c:v>187</c:v>
                </c:pt>
                <c:pt idx="7">
                  <c:v>187</c:v>
                </c:pt>
                <c:pt idx="8">
                  <c:v>187</c:v>
                </c:pt>
                <c:pt idx="9">
                  <c:v>187</c:v>
                </c:pt>
              </c:numCache>
            </c:numRef>
          </c:val>
          <c:smooth val="0"/>
          <c:extLst>
            <c:ext xmlns:c16="http://schemas.microsoft.com/office/drawing/2014/chart" uri="{C3380CC4-5D6E-409C-BE32-E72D297353CC}">
              <c16:uniqueId val="{00000002-F997-47C8-8FFF-A8972962AD8E}"/>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4</xdr:row>
      <xdr:rowOff>0</xdr:rowOff>
    </xdr:from>
    <xdr:to>
      <xdr:col>14</xdr:col>
      <xdr:colOff>0</xdr:colOff>
      <xdr:row>20</xdr:row>
      <xdr:rowOff>0</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0"/>
  <sheetViews>
    <sheetView workbookViewId="0"/>
  </sheetViews>
  <sheetFormatPr baseColWidth="10" defaultColWidth="9" defaultRowHeight="14.25"/>
  <cols>
    <col min="1" max="1" width="4" customWidth="1"/>
    <col min="2" max="8" width="18" customWidth="1"/>
  </cols>
  <sheetData>
    <row r="1" spans="2:8" ht="21.95" customHeight="1"/>
    <row r="2" spans="2:8" ht="21.95" customHeight="1"/>
    <row r="3" spans="2:8" ht="21.95" customHeight="1">
      <c r="B3" s="36" t="s">
        <v>0</v>
      </c>
      <c r="C3" s="36"/>
      <c r="D3" s="36"/>
      <c r="E3" s="36"/>
      <c r="F3" s="36"/>
      <c r="G3" s="36"/>
      <c r="H3" s="36"/>
    </row>
    <row r="4" spans="2:8" ht="21.95" customHeight="1">
      <c r="B4" s="36"/>
      <c r="C4" s="36"/>
      <c r="D4" s="36"/>
      <c r="E4" s="36"/>
      <c r="F4" s="36"/>
      <c r="G4" s="36"/>
      <c r="H4" s="36"/>
    </row>
    <row r="5" spans="2:8" ht="21.95" customHeight="1">
      <c r="B5" s="36"/>
      <c r="C5" s="36"/>
      <c r="D5" s="36"/>
      <c r="E5" s="36"/>
      <c r="F5" s="36"/>
      <c r="G5" s="36"/>
      <c r="H5" s="36"/>
    </row>
    <row r="6" spans="2:8" ht="21.95" customHeight="1">
      <c r="B6" s="36"/>
      <c r="C6" s="36"/>
      <c r="D6" s="36"/>
      <c r="E6" s="36"/>
      <c r="F6" s="36"/>
      <c r="G6" s="36"/>
      <c r="H6" s="36"/>
    </row>
    <row r="7" spans="2:8" ht="21.95" customHeight="1"/>
    <row r="8" spans="2:8" ht="21.95" customHeight="1">
      <c r="B8" s="37" t="s">
        <v>1</v>
      </c>
      <c r="C8" s="37"/>
      <c r="D8" s="37"/>
      <c r="E8" s="37"/>
      <c r="F8" s="37"/>
      <c r="G8" s="37"/>
      <c r="H8" s="37"/>
    </row>
    <row r="9" spans="2:8" ht="21.95" customHeight="1"/>
    <row r="10" spans="2:8" ht="21.95" customHeight="1">
      <c r="B10" s="38" t="s">
        <v>2</v>
      </c>
      <c r="C10" s="38"/>
      <c r="D10" s="38"/>
      <c r="E10" s="38"/>
      <c r="F10" s="38"/>
      <c r="G10" s="38"/>
      <c r="H10" s="38"/>
    </row>
    <row r="11" spans="2:8" ht="21.95" customHeight="1"/>
    <row r="12" spans="2:8" ht="21.95" customHeight="1">
      <c r="B12" s="39" t="s">
        <v>3</v>
      </c>
      <c r="C12" s="39"/>
      <c r="D12" s="39"/>
      <c r="E12" s="39"/>
      <c r="F12" s="39"/>
      <c r="G12" s="39"/>
      <c r="H12" s="39"/>
    </row>
    <row r="13" spans="2:8" ht="21.95" customHeight="1"/>
    <row r="14" spans="2:8" ht="21.95" customHeight="1"/>
    <row r="15" spans="2:8" ht="21.95" customHeight="1">
      <c r="B15" s="40" t="s">
        <v>4</v>
      </c>
      <c r="C15" s="40"/>
      <c r="D15" s="40"/>
      <c r="E15" s="40"/>
      <c r="F15" s="40"/>
      <c r="G15" s="40"/>
      <c r="H15" s="40"/>
    </row>
    <row r="16" spans="2:8" ht="21.95" customHeight="1">
      <c r="B16" s="40"/>
      <c r="C16" s="40"/>
      <c r="D16" s="40"/>
      <c r="E16" s="40"/>
      <c r="F16" s="40"/>
      <c r="G16" s="40"/>
      <c r="H16" s="40"/>
    </row>
    <row r="17" ht="21.95" customHeight="1"/>
    <row r="18" ht="21.95" customHeight="1"/>
    <row r="19" ht="21.95" customHeight="1"/>
    <row r="20" ht="21.95" customHeight="1"/>
  </sheetData>
  <mergeCells count="5">
    <mergeCell ref="B3:H6"/>
    <mergeCell ref="B8:H8"/>
    <mergeCell ref="B10:H10"/>
    <mergeCell ref="B12:H12"/>
    <mergeCell ref="B15:H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0"/>
  <sheetViews>
    <sheetView tabSelected="1" workbookViewId="0">
      <selection activeCell="A10" sqref="A10:XFD10"/>
    </sheetView>
  </sheetViews>
  <sheetFormatPr baseColWidth="10" defaultColWidth="9" defaultRowHeight="14.25"/>
  <cols>
    <col min="1" max="1" width="24" customWidth="1"/>
    <col min="2" max="2" width="18" customWidth="1"/>
    <col min="3" max="3" width="14" customWidth="1"/>
    <col min="4" max="4" width="32" customWidth="1"/>
    <col min="5" max="5" width="3" customWidth="1"/>
    <col min="6" max="6" width="21" customWidth="1"/>
    <col min="7" max="7" width="42" customWidth="1"/>
    <col min="8" max="8" width="30" customWidth="1"/>
  </cols>
  <sheetData>
    <row r="1" spans="1:8" ht="21.95" customHeight="1">
      <c r="A1" s="41" t="s">
        <v>5</v>
      </c>
      <c r="B1" s="42"/>
      <c r="C1" s="42"/>
      <c r="D1" s="42"/>
      <c r="E1" s="42"/>
      <c r="F1" s="42"/>
      <c r="G1" s="42"/>
      <c r="H1" s="42"/>
    </row>
    <row r="2" spans="1:8" ht="21.95" customHeight="1">
      <c r="A2" s="42"/>
      <c r="B2" s="42"/>
      <c r="C2" s="42"/>
      <c r="D2" s="42"/>
      <c r="E2" s="42"/>
      <c r="F2" s="42"/>
      <c r="G2" s="42"/>
      <c r="H2" s="42"/>
    </row>
    <row r="3" spans="1:8" ht="21.95" customHeight="1">
      <c r="A3" s="43" t="s">
        <v>6</v>
      </c>
      <c r="B3" s="42"/>
      <c r="C3" s="42"/>
      <c r="D3" s="42"/>
      <c r="E3" s="42"/>
      <c r="F3" s="42"/>
      <c r="G3" s="42"/>
      <c r="H3" s="42"/>
    </row>
    <row r="4" spans="1:8" ht="21.95" customHeight="1"/>
    <row r="5" spans="1:8" ht="22.5" customHeight="1">
      <c r="A5" s="1" t="s">
        <v>7</v>
      </c>
      <c r="B5" s="2" t="s">
        <v>8</v>
      </c>
      <c r="C5" s="2"/>
      <c r="D5" s="2"/>
      <c r="E5" s="2"/>
      <c r="F5" s="2"/>
      <c r="G5" s="2"/>
      <c r="H5" s="2"/>
    </row>
    <row r="6" spans="1:8" ht="105.75" customHeight="1">
      <c r="A6" s="1" t="s">
        <v>9</v>
      </c>
      <c r="B6" s="2" t="s">
        <v>10</v>
      </c>
      <c r="C6" s="2"/>
      <c r="D6" s="2"/>
      <c r="E6" s="2"/>
      <c r="F6" s="2"/>
      <c r="G6" s="2"/>
      <c r="H6" s="2"/>
    </row>
    <row r="7" spans="1:8" ht="56.25" customHeight="1">
      <c r="A7" s="1" t="s">
        <v>11</v>
      </c>
      <c r="B7" s="2" t="s">
        <v>12</v>
      </c>
      <c r="C7" s="2"/>
      <c r="D7" s="2"/>
      <c r="E7" s="2"/>
      <c r="F7" s="2"/>
      <c r="G7" s="2"/>
      <c r="H7" s="2"/>
    </row>
    <row r="8" spans="1:8" ht="21.95" customHeight="1">
      <c r="A8" s="1" t="s">
        <v>13</v>
      </c>
      <c r="B8" s="2" t="s">
        <v>14</v>
      </c>
      <c r="C8" s="2"/>
      <c r="D8" s="2"/>
      <c r="E8" s="2"/>
      <c r="F8" s="2"/>
      <c r="G8" s="2"/>
      <c r="H8" s="2"/>
    </row>
    <row r="9" spans="1:8" ht="21.95" customHeight="1">
      <c r="A9" s="1" t="s">
        <v>15</v>
      </c>
      <c r="B9" s="2" t="s">
        <v>16</v>
      </c>
      <c r="C9" s="2"/>
      <c r="D9" s="2"/>
      <c r="E9" s="2"/>
      <c r="F9" s="2"/>
      <c r="G9" s="2"/>
      <c r="H9" s="2"/>
    </row>
    <row r="10" spans="1:8" ht="46.5" customHeight="1">
      <c r="A10" s="1" t="s">
        <v>17</v>
      </c>
      <c r="B10" s="2" t="s">
        <v>18</v>
      </c>
      <c r="C10" s="2"/>
      <c r="D10" s="2"/>
      <c r="E10" s="2"/>
      <c r="F10" s="2"/>
      <c r="G10" s="2"/>
      <c r="H10" s="2"/>
    </row>
    <row r="11" spans="1:8" ht="21.95" customHeight="1"/>
    <row r="12" spans="1:8" ht="21.95" customHeight="1">
      <c r="A12" s="44" t="s">
        <v>19</v>
      </c>
      <c r="B12" s="44"/>
      <c r="C12" s="44"/>
      <c r="D12" s="44"/>
      <c r="E12" s="44"/>
      <c r="F12" s="44"/>
      <c r="G12" s="44"/>
      <c r="H12" s="44"/>
    </row>
    <row r="13" spans="1:8" ht="21.95" customHeight="1">
      <c r="A13" s="45" t="s">
        <v>20</v>
      </c>
      <c r="B13" s="45"/>
      <c r="C13" s="45"/>
      <c r="D13" s="45"/>
      <c r="E13" s="45"/>
      <c r="F13" s="45"/>
      <c r="G13" s="45"/>
      <c r="H13" s="45"/>
    </row>
    <row r="14" spans="1:8" ht="21.95" customHeight="1">
      <c r="A14" s="45"/>
      <c r="B14" s="45"/>
      <c r="C14" s="45"/>
      <c r="D14" s="45"/>
      <c r="E14" s="45"/>
      <c r="F14" s="45"/>
      <c r="G14" s="45"/>
      <c r="H14" s="45"/>
    </row>
    <row r="15" spans="1:8" ht="21.95" customHeight="1">
      <c r="A15" s="45"/>
      <c r="B15" s="45"/>
      <c r="C15" s="45"/>
      <c r="D15" s="45"/>
      <c r="E15" s="45"/>
      <c r="F15" s="45"/>
      <c r="G15" s="45"/>
      <c r="H15" s="45"/>
    </row>
    <row r="16" spans="1:8" ht="21.95" customHeight="1">
      <c r="A16" s="45"/>
      <c r="B16" s="45"/>
      <c r="C16" s="45"/>
      <c r="D16" s="45"/>
      <c r="E16" s="45"/>
      <c r="F16" s="45"/>
      <c r="G16" s="45"/>
      <c r="H16" s="45"/>
    </row>
    <row r="17" spans="1:8" ht="21.95" customHeight="1"/>
    <row r="18" spans="1:8" ht="21.95" customHeight="1">
      <c r="A18" s="44" t="s">
        <v>21</v>
      </c>
      <c r="B18" s="44"/>
      <c r="C18" s="44"/>
      <c r="D18" s="44"/>
      <c r="F18" s="44" t="s">
        <v>22</v>
      </c>
      <c r="G18" s="44"/>
      <c r="H18" s="44"/>
    </row>
    <row r="19" spans="1:8" ht="21.95" customHeight="1">
      <c r="A19" s="5" t="s">
        <v>23</v>
      </c>
      <c r="B19" s="5" t="s">
        <v>24</v>
      </c>
      <c r="C19" s="5" t="s">
        <v>25</v>
      </c>
      <c r="D19" s="5" t="s">
        <v>26</v>
      </c>
      <c r="F19" s="5" t="s">
        <v>27</v>
      </c>
      <c r="G19" s="5" t="s">
        <v>28</v>
      </c>
      <c r="H19" s="5" t="s">
        <v>29</v>
      </c>
    </row>
    <row r="20" spans="1:8" ht="21.95" customHeight="1">
      <c r="A20" s="2" t="s">
        <v>30</v>
      </c>
      <c r="B20" s="6">
        <v>7</v>
      </c>
      <c r="C20" s="2" t="s">
        <v>31</v>
      </c>
      <c r="D20" s="2" t="s">
        <v>32</v>
      </c>
      <c r="F20" s="2" t="s">
        <v>33</v>
      </c>
      <c r="G20" s="2" t="s">
        <v>34</v>
      </c>
      <c r="H20" s="2" t="s">
        <v>35</v>
      </c>
    </row>
    <row r="21" spans="1:8" ht="39" customHeight="1">
      <c r="A21" s="2" t="s">
        <v>36</v>
      </c>
      <c r="B21" s="6">
        <v>187</v>
      </c>
      <c r="C21" s="2" t="s">
        <v>37</v>
      </c>
      <c r="D21" s="2" t="s">
        <v>38</v>
      </c>
      <c r="F21" s="2" t="s">
        <v>39</v>
      </c>
      <c r="G21" s="2" t="s">
        <v>40</v>
      </c>
      <c r="H21" s="2" t="s">
        <v>41</v>
      </c>
    </row>
    <row r="22" spans="1:8" ht="21.95" customHeight="1">
      <c r="A22" s="2" t="s">
        <v>42</v>
      </c>
      <c r="B22" s="6">
        <v>91</v>
      </c>
      <c r="C22" s="2" t="s">
        <v>37</v>
      </c>
      <c r="D22" s="2" t="s">
        <v>43</v>
      </c>
      <c r="F22" s="2" t="s">
        <v>44</v>
      </c>
      <c r="G22" s="2" t="s">
        <v>45</v>
      </c>
      <c r="H22" s="2" t="s">
        <v>46</v>
      </c>
    </row>
    <row r="23" spans="1:8" ht="33" customHeight="1">
      <c r="A23" s="2" t="s">
        <v>47</v>
      </c>
      <c r="B23" s="6">
        <v>41</v>
      </c>
      <c r="C23" s="2" t="s">
        <v>37</v>
      </c>
      <c r="D23" s="2" t="s">
        <v>48</v>
      </c>
      <c r="F23" s="2" t="s">
        <v>49</v>
      </c>
      <c r="G23" s="2" t="s">
        <v>50</v>
      </c>
      <c r="H23" s="2" t="s">
        <v>51</v>
      </c>
    </row>
    <row r="24" spans="1:8" ht="30" customHeight="1">
      <c r="A24" s="2" t="s">
        <v>52</v>
      </c>
      <c r="B24" s="6">
        <v>50</v>
      </c>
      <c r="C24" s="2" t="s">
        <v>37</v>
      </c>
      <c r="D24" s="2" t="s">
        <v>53</v>
      </c>
      <c r="F24" s="2" t="s">
        <v>54</v>
      </c>
      <c r="G24" s="2" t="s">
        <v>55</v>
      </c>
      <c r="H24" s="2" t="s">
        <v>56</v>
      </c>
    </row>
    <row r="25" spans="1:8" ht="21.95" customHeight="1">
      <c r="A25" s="2" t="s">
        <v>57</v>
      </c>
      <c r="B25" s="6">
        <v>57</v>
      </c>
      <c r="C25" s="2" t="s">
        <v>37</v>
      </c>
      <c r="D25" s="2" t="s">
        <v>58</v>
      </c>
    </row>
    <row r="26" spans="1:8" ht="21.95" customHeight="1">
      <c r="A26" s="2" t="s">
        <v>59</v>
      </c>
      <c r="B26" s="6">
        <v>107</v>
      </c>
      <c r="C26" s="2" t="s">
        <v>37</v>
      </c>
      <c r="D26" s="2" t="s">
        <v>60</v>
      </c>
    </row>
    <row r="27" spans="1:8" ht="21.95" customHeight="1">
      <c r="A27" s="2" t="s">
        <v>61</v>
      </c>
      <c r="B27" s="6">
        <v>39</v>
      </c>
      <c r="C27" s="2" t="s">
        <v>37</v>
      </c>
      <c r="D27" s="2" t="s">
        <v>62</v>
      </c>
    </row>
    <row r="28" spans="1:8" ht="21.95" customHeight="1">
      <c r="A28" s="2" t="s">
        <v>63</v>
      </c>
      <c r="B28" s="6">
        <v>47</v>
      </c>
      <c r="C28" s="2" t="s">
        <v>37</v>
      </c>
      <c r="D28" s="2" t="s">
        <v>64</v>
      </c>
    </row>
    <row r="29" spans="1:8" ht="21.95" customHeight="1"/>
    <row r="30" spans="1:8" ht="21.95" customHeight="1"/>
    <row r="31" spans="1:8" ht="21.95" customHeight="1"/>
    <row r="32" spans="1:8" ht="21.95" customHeight="1"/>
    <row r="33" ht="21.95" customHeight="1"/>
    <row r="34" ht="21.95" customHeight="1"/>
    <row r="35" ht="21.95" customHeight="1"/>
    <row r="36" ht="21.95" customHeight="1"/>
    <row r="37" ht="21.95" customHeight="1"/>
    <row r="38" ht="21.95" customHeight="1"/>
    <row r="39" ht="21.95" customHeight="1"/>
    <row r="40" ht="21.95" customHeight="1"/>
    <row r="41" ht="21.95" customHeight="1"/>
    <row r="42" ht="21.95" customHeight="1"/>
    <row r="43" ht="21.95" customHeight="1"/>
    <row r="44" ht="21.95" customHeight="1"/>
    <row r="45" ht="21.95" customHeight="1"/>
    <row r="46" ht="21.95" customHeight="1"/>
    <row r="47" ht="21.95" customHeight="1"/>
    <row r="48" ht="21.95" customHeight="1"/>
    <row r="49" ht="21.95" customHeight="1"/>
    <row r="50" ht="21.95" customHeight="1"/>
    <row r="51" ht="21.95" customHeight="1"/>
    <row r="52" ht="21.95" customHeight="1"/>
    <row r="53" ht="21.95" customHeight="1"/>
    <row r="54" ht="21.95" customHeight="1"/>
    <row r="55" ht="21.95" customHeight="1"/>
    <row r="56" ht="21.95" customHeight="1"/>
    <row r="57" ht="21.95" customHeight="1"/>
    <row r="58" ht="21.95" customHeight="1"/>
    <row r="59" ht="21.95" customHeight="1"/>
    <row r="60" ht="21.95" customHeight="1"/>
    <row r="61" ht="21.95" customHeight="1"/>
    <row r="62" ht="21.95" customHeight="1"/>
    <row r="63" ht="21.95" customHeight="1"/>
    <row r="64" ht="21.95" customHeight="1"/>
    <row r="65" ht="21.95" customHeight="1"/>
    <row r="66" ht="21.95" customHeight="1"/>
    <row r="67" ht="21.95" customHeight="1"/>
    <row r="68" ht="21.95" customHeight="1"/>
    <row r="69" ht="21.95" customHeight="1"/>
    <row r="70" ht="21.95" customHeight="1"/>
    <row r="71" ht="21.95" customHeight="1"/>
    <row r="72" ht="21.95" customHeight="1"/>
    <row r="73" ht="21.95" customHeight="1"/>
    <row r="74" ht="21.95" customHeight="1"/>
    <row r="75" ht="21.95" customHeight="1"/>
    <row r="76" ht="21.95" customHeight="1"/>
    <row r="77" ht="21.95" customHeight="1"/>
    <row r="78" ht="21.95" customHeight="1"/>
    <row r="79" ht="21.95" customHeight="1"/>
    <row r="80" ht="21.95" customHeight="1"/>
  </sheetData>
  <mergeCells count="6">
    <mergeCell ref="A1:H2"/>
    <mergeCell ref="A3:H3"/>
    <mergeCell ref="A12:H12"/>
    <mergeCell ref="A13:H16"/>
    <mergeCell ref="A18:D18"/>
    <mergeCell ref="F18:H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0"/>
  <sheetViews>
    <sheetView topLeftCell="A20" workbookViewId="0">
      <selection sqref="A1:H2"/>
    </sheetView>
  </sheetViews>
  <sheetFormatPr baseColWidth="10" defaultColWidth="9" defaultRowHeight="14.25"/>
  <cols>
    <col min="1" max="1" width="19" customWidth="1"/>
    <col min="2" max="2" width="20" customWidth="1"/>
    <col min="3" max="3" width="16" customWidth="1"/>
    <col min="4" max="4" width="13" customWidth="1"/>
    <col min="5" max="5" width="38" customWidth="1"/>
    <col min="6" max="6" width="47" customWidth="1"/>
    <col min="7" max="7" width="10" customWidth="1"/>
    <col min="8" max="8" width="34" customWidth="1"/>
  </cols>
  <sheetData>
    <row r="1" spans="1:8" ht="21.95" customHeight="1">
      <c r="A1" s="41" t="s">
        <v>65</v>
      </c>
      <c r="B1" s="42"/>
      <c r="C1" s="42"/>
      <c r="D1" s="42"/>
      <c r="E1" s="42"/>
      <c r="F1" s="42"/>
      <c r="G1" s="42"/>
      <c r="H1" s="42"/>
    </row>
    <row r="2" spans="1:8" ht="21.95" customHeight="1">
      <c r="A2" s="42"/>
      <c r="B2" s="42"/>
      <c r="C2" s="42"/>
      <c r="D2" s="42"/>
      <c r="E2" s="42"/>
      <c r="F2" s="42"/>
      <c r="G2" s="42"/>
      <c r="H2" s="42"/>
    </row>
    <row r="3" spans="1:8" ht="21.95" customHeight="1">
      <c r="A3" s="43" t="s">
        <v>66</v>
      </c>
      <c r="B3" s="42"/>
      <c r="C3" s="42"/>
      <c r="D3" s="42"/>
      <c r="E3" s="42"/>
      <c r="F3" s="42"/>
      <c r="G3" s="42"/>
      <c r="H3" s="42"/>
    </row>
    <row r="4" spans="1:8" ht="21.95" customHeight="1"/>
    <row r="5" spans="1:8" ht="21.95" customHeight="1">
      <c r="A5" s="5" t="s">
        <v>67</v>
      </c>
      <c r="B5" s="5" t="s">
        <v>68</v>
      </c>
      <c r="C5" s="5" t="s">
        <v>69</v>
      </c>
      <c r="D5" s="5" t="s">
        <v>70</v>
      </c>
      <c r="E5" s="5" t="s">
        <v>71</v>
      </c>
      <c r="F5" s="5" t="s">
        <v>72</v>
      </c>
      <c r="G5" s="5" t="s">
        <v>37</v>
      </c>
      <c r="H5" s="5" t="s">
        <v>73</v>
      </c>
    </row>
    <row r="6" spans="1:8" ht="51.95" customHeight="1">
      <c r="A6" s="7" t="s">
        <v>74</v>
      </c>
      <c r="B6" s="7" t="s">
        <v>75</v>
      </c>
      <c r="C6" s="7" t="s">
        <v>76</v>
      </c>
      <c r="D6" s="14">
        <v>24.5</v>
      </c>
      <c r="E6" s="7" t="s">
        <v>77</v>
      </c>
      <c r="F6" s="7" t="s">
        <v>78</v>
      </c>
      <c r="G6" s="20">
        <v>0</v>
      </c>
      <c r="H6" s="7" t="s">
        <v>79</v>
      </c>
    </row>
    <row r="7" spans="1:8" ht="51.95" customHeight="1">
      <c r="A7" s="8" t="s">
        <v>80</v>
      </c>
      <c r="B7" s="8" t="s">
        <v>75</v>
      </c>
      <c r="C7" s="8" t="s">
        <v>81</v>
      </c>
      <c r="D7" s="15">
        <v>28</v>
      </c>
      <c r="E7" s="8" t="s">
        <v>82</v>
      </c>
      <c r="F7" s="8" t="s">
        <v>83</v>
      </c>
      <c r="G7" s="21">
        <v>8</v>
      </c>
      <c r="H7" s="8" t="s">
        <v>84</v>
      </c>
    </row>
    <row r="8" spans="1:8" ht="51.95" customHeight="1">
      <c r="A8" s="8" t="s">
        <v>85</v>
      </c>
      <c r="B8" s="8" t="s">
        <v>86</v>
      </c>
      <c r="C8" s="8" t="s">
        <v>87</v>
      </c>
      <c r="D8" s="15">
        <v>24.5</v>
      </c>
      <c r="E8" s="8" t="s">
        <v>88</v>
      </c>
      <c r="F8" s="8" t="s">
        <v>89</v>
      </c>
      <c r="G8" s="21">
        <v>8</v>
      </c>
      <c r="H8" s="8" t="s">
        <v>90</v>
      </c>
    </row>
    <row r="9" spans="1:8" ht="51.95" customHeight="1">
      <c r="A9" s="8" t="s">
        <v>91</v>
      </c>
      <c r="B9" s="8" t="s">
        <v>86</v>
      </c>
      <c r="C9" s="8" t="s">
        <v>81</v>
      </c>
      <c r="D9" s="15">
        <v>28</v>
      </c>
      <c r="E9" s="8" t="s">
        <v>92</v>
      </c>
      <c r="F9" s="8" t="s">
        <v>93</v>
      </c>
      <c r="G9" s="21">
        <v>9</v>
      </c>
      <c r="H9" s="8" t="s">
        <v>94</v>
      </c>
    </row>
    <row r="10" spans="1:8" ht="51.95" customHeight="1">
      <c r="A10" s="8" t="s">
        <v>95</v>
      </c>
      <c r="B10" s="8" t="s">
        <v>96</v>
      </c>
      <c r="C10" s="8" t="s">
        <v>87</v>
      </c>
      <c r="D10" s="15">
        <v>24.5</v>
      </c>
      <c r="E10" s="8" t="s">
        <v>97</v>
      </c>
      <c r="F10" s="8" t="s">
        <v>98</v>
      </c>
      <c r="G10" s="21">
        <v>13</v>
      </c>
      <c r="H10" s="8" t="s">
        <v>99</v>
      </c>
    </row>
    <row r="11" spans="1:8" ht="51.95" customHeight="1">
      <c r="A11" s="9" t="s">
        <v>100</v>
      </c>
      <c r="B11" s="9" t="s">
        <v>96</v>
      </c>
      <c r="C11" s="9" t="s">
        <v>81</v>
      </c>
      <c r="D11" s="16">
        <v>28</v>
      </c>
      <c r="E11" s="9" t="s">
        <v>101</v>
      </c>
      <c r="F11" s="9" t="s">
        <v>102</v>
      </c>
      <c r="G11" s="22">
        <v>8</v>
      </c>
      <c r="H11" s="9" t="s">
        <v>103</v>
      </c>
    </row>
    <row r="12" spans="1:8" ht="51.95" customHeight="1">
      <c r="A12" s="10" t="s">
        <v>104</v>
      </c>
      <c r="B12" s="10" t="s">
        <v>105</v>
      </c>
      <c r="C12" s="10" t="s">
        <v>87</v>
      </c>
      <c r="D12" s="17">
        <v>24.5</v>
      </c>
      <c r="E12" s="10" t="s">
        <v>106</v>
      </c>
      <c r="F12" s="10" t="s">
        <v>107</v>
      </c>
      <c r="G12" s="23">
        <v>0</v>
      </c>
      <c r="H12" s="10" t="s">
        <v>108</v>
      </c>
    </row>
    <row r="13" spans="1:8" ht="51.95" customHeight="1">
      <c r="A13" s="11" t="s">
        <v>109</v>
      </c>
      <c r="B13" s="11" t="s">
        <v>105</v>
      </c>
      <c r="C13" s="11" t="s">
        <v>110</v>
      </c>
      <c r="D13" s="18">
        <v>21</v>
      </c>
      <c r="E13" s="11" t="s">
        <v>111</v>
      </c>
      <c r="F13" s="11" t="s">
        <v>112</v>
      </c>
      <c r="G13" s="24">
        <v>0</v>
      </c>
      <c r="H13" s="11" t="s">
        <v>113</v>
      </c>
    </row>
    <row r="14" spans="1:8" ht="51.95" customHeight="1">
      <c r="A14" s="12" t="s">
        <v>114</v>
      </c>
      <c r="B14" s="12" t="s">
        <v>105</v>
      </c>
      <c r="C14" s="12" t="s">
        <v>115</v>
      </c>
      <c r="D14" s="19" t="s">
        <v>116</v>
      </c>
      <c r="E14" s="12" t="s">
        <v>117</v>
      </c>
      <c r="F14" s="12" t="s">
        <v>118</v>
      </c>
      <c r="G14" s="25">
        <v>41</v>
      </c>
      <c r="H14" s="13" t="s">
        <v>119</v>
      </c>
    </row>
    <row r="15" spans="1:8" ht="51.95" customHeight="1"/>
    <row r="16" spans="1:8" ht="51.95" customHeight="1">
      <c r="A16" s="44" t="s">
        <v>120</v>
      </c>
      <c r="B16" s="44"/>
      <c r="C16" s="44"/>
      <c r="D16" s="44"/>
      <c r="E16" s="44"/>
      <c r="F16" s="44"/>
      <c r="G16" s="44"/>
      <c r="H16" s="44"/>
    </row>
    <row r="17" spans="1:8" ht="51.95" customHeight="1">
      <c r="A17" s="5" t="s">
        <v>121</v>
      </c>
      <c r="B17" s="5" t="s">
        <v>122</v>
      </c>
      <c r="C17" s="5" t="s">
        <v>123</v>
      </c>
      <c r="D17" s="5" t="s">
        <v>37</v>
      </c>
      <c r="E17" s="5" t="s">
        <v>124</v>
      </c>
      <c r="F17" s="5" t="s">
        <v>125</v>
      </c>
      <c r="G17" s="5" t="s">
        <v>17</v>
      </c>
      <c r="H17" s="5" t="s">
        <v>126</v>
      </c>
    </row>
    <row r="18" spans="1:8" ht="51.95" customHeight="1">
      <c r="A18" s="26" t="s">
        <v>127</v>
      </c>
      <c r="B18" s="26" t="s">
        <v>128</v>
      </c>
      <c r="C18" s="26" t="s">
        <v>129</v>
      </c>
      <c r="D18" s="26">
        <v>50</v>
      </c>
      <c r="E18" s="26">
        <v>1</v>
      </c>
      <c r="F18" s="26" t="s">
        <v>130</v>
      </c>
      <c r="G18" s="26" t="s">
        <v>131</v>
      </c>
      <c r="H18" s="26" t="s">
        <v>132</v>
      </c>
    </row>
    <row r="19" spans="1:8" ht="59.25" customHeight="1">
      <c r="A19" s="11" t="s">
        <v>133</v>
      </c>
      <c r="B19" s="11" t="s">
        <v>134</v>
      </c>
      <c r="C19" s="11" t="s">
        <v>58</v>
      </c>
      <c r="D19" s="11">
        <v>57</v>
      </c>
      <c r="E19" s="11">
        <v>2</v>
      </c>
      <c r="F19" s="11" t="s">
        <v>135</v>
      </c>
      <c r="G19" s="11" t="s">
        <v>136</v>
      </c>
      <c r="H19" s="11" t="s">
        <v>137</v>
      </c>
    </row>
    <row r="20" spans="1:8" ht="51.95" customHeight="1">
      <c r="A20" s="27" t="s">
        <v>61</v>
      </c>
      <c r="B20" s="27" t="s">
        <v>138</v>
      </c>
      <c r="C20" s="27" t="s">
        <v>62</v>
      </c>
      <c r="D20" s="27">
        <v>39</v>
      </c>
      <c r="E20" s="27">
        <v>3</v>
      </c>
      <c r="F20" s="27" t="s">
        <v>139</v>
      </c>
      <c r="G20" s="27" t="s">
        <v>136</v>
      </c>
      <c r="H20" s="27" t="s">
        <v>140</v>
      </c>
    </row>
    <row r="21" spans="1:8" ht="21.95" customHeight="1"/>
    <row r="22" spans="1:8" ht="21.95" customHeight="1">
      <c r="A22" s="44" t="s">
        <v>141</v>
      </c>
      <c r="B22" s="44"/>
      <c r="C22" s="44"/>
      <c r="D22" s="44"/>
      <c r="E22" s="44"/>
      <c r="F22" s="44"/>
      <c r="G22" s="44"/>
      <c r="H22" s="44"/>
    </row>
    <row r="23" spans="1:8" ht="21.95" customHeight="1">
      <c r="A23" s="5" t="s">
        <v>23</v>
      </c>
      <c r="B23" s="5" t="s">
        <v>24</v>
      </c>
      <c r="C23" s="5" t="s">
        <v>25</v>
      </c>
      <c r="D23" s="5" t="s">
        <v>26</v>
      </c>
      <c r="F23" s="45" t="s">
        <v>142</v>
      </c>
      <c r="G23" s="45"/>
      <c r="H23" s="45"/>
    </row>
    <row r="24" spans="1:8" ht="21.95" customHeight="1">
      <c r="A24" s="2" t="s">
        <v>42</v>
      </c>
      <c r="B24" s="6">
        <v>91</v>
      </c>
      <c r="C24" s="2" t="s">
        <v>37</v>
      </c>
      <c r="D24" s="2" t="s">
        <v>143</v>
      </c>
      <c r="F24" s="45"/>
      <c r="G24" s="45"/>
      <c r="H24" s="45"/>
    </row>
    <row r="25" spans="1:8" ht="21.95" customHeight="1">
      <c r="A25" s="2" t="s">
        <v>47</v>
      </c>
      <c r="B25" s="6">
        <v>41</v>
      </c>
      <c r="C25" s="2" t="s">
        <v>37</v>
      </c>
      <c r="D25" s="2" t="s">
        <v>144</v>
      </c>
      <c r="F25" s="45"/>
      <c r="G25" s="45"/>
      <c r="H25" s="45"/>
    </row>
    <row r="26" spans="1:8" ht="34.5" customHeight="1">
      <c r="A26" s="2" t="s">
        <v>145</v>
      </c>
      <c r="B26" s="30">
        <f>B25/B24</f>
        <v>0.45054945054945056</v>
      </c>
      <c r="C26" s="2" t="s">
        <v>146</v>
      </c>
      <c r="D26" s="2" t="s">
        <v>147</v>
      </c>
      <c r="F26" s="45"/>
      <c r="G26" s="45"/>
      <c r="H26" s="45"/>
    </row>
    <row r="27" spans="1:8" ht="21.95" customHeight="1">
      <c r="A27" s="2" t="s">
        <v>148</v>
      </c>
      <c r="B27" s="6">
        <f>B24-B25</f>
        <v>50</v>
      </c>
      <c r="C27" s="2" t="s">
        <v>37</v>
      </c>
      <c r="D27" s="2" t="s">
        <v>149</v>
      </c>
      <c r="F27" s="45"/>
      <c r="G27" s="45"/>
      <c r="H27" s="45"/>
    </row>
    <row r="28" spans="1:8" ht="21.95" customHeight="1">
      <c r="A28" s="2" t="s">
        <v>57</v>
      </c>
      <c r="B28" s="6">
        <v>57</v>
      </c>
      <c r="C28" s="2" t="s">
        <v>37</v>
      </c>
      <c r="D28" s="2" t="s">
        <v>58</v>
      </c>
      <c r="F28" s="45"/>
      <c r="G28" s="45"/>
      <c r="H28" s="45"/>
    </row>
    <row r="29" spans="1:8" ht="21.95" customHeight="1">
      <c r="A29" s="2" t="s">
        <v>150</v>
      </c>
      <c r="B29" s="6">
        <f>B27+B28</f>
        <v>107</v>
      </c>
      <c r="C29" s="2" t="s">
        <v>37</v>
      </c>
      <c r="D29" s="2" t="s">
        <v>151</v>
      </c>
      <c r="F29" s="45"/>
      <c r="G29" s="45"/>
      <c r="H29" s="45"/>
    </row>
    <row r="30" spans="1:8" ht="21.95" customHeight="1">
      <c r="A30" s="2" t="s">
        <v>61</v>
      </c>
      <c r="B30" s="6">
        <v>39</v>
      </c>
      <c r="C30" s="2" t="s">
        <v>37</v>
      </c>
      <c r="D30" s="2" t="s">
        <v>62</v>
      </c>
      <c r="F30" s="45"/>
      <c r="G30" s="45"/>
      <c r="H30" s="45"/>
    </row>
    <row r="31" spans="1:8" ht="21.95" customHeight="1">
      <c r="A31" s="2" t="s">
        <v>36</v>
      </c>
      <c r="B31" s="6">
        <f>B24+B28+B30</f>
        <v>187</v>
      </c>
      <c r="C31" s="2" t="s">
        <v>37</v>
      </c>
      <c r="D31" s="2" t="s">
        <v>152</v>
      </c>
      <c r="F31" s="45"/>
      <c r="G31" s="45"/>
      <c r="H31" s="45"/>
    </row>
    <row r="32" spans="1:8" ht="21.95" customHeight="1">
      <c r="A32" s="2" t="s">
        <v>153</v>
      </c>
      <c r="B32" s="2">
        <v>234</v>
      </c>
      <c r="C32" s="2" t="s">
        <v>37</v>
      </c>
      <c r="D32" s="2" t="s">
        <v>154</v>
      </c>
      <c r="F32" s="45"/>
      <c r="G32" s="45"/>
      <c r="H32" s="45"/>
    </row>
    <row r="33" ht="21.95" customHeight="1"/>
    <row r="34" ht="21.95" customHeight="1"/>
    <row r="35" ht="21.95" customHeight="1"/>
    <row r="36" ht="21.95" customHeight="1"/>
    <row r="37" ht="21.95" customHeight="1"/>
    <row r="38" ht="21.95" customHeight="1"/>
    <row r="39" ht="21.95" customHeight="1"/>
    <row r="40" ht="21.95" customHeight="1"/>
    <row r="41" ht="21.95" customHeight="1"/>
    <row r="42" ht="21.95" customHeight="1"/>
    <row r="43" ht="21.95" customHeight="1"/>
    <row r="44" ht="21.95" customHeight="1"/>
    <row r="45" ht="21.95" customHeight="1"/>
    <row r="46" ht="21.95" customHeight="1"/>
    <row r="47" ht="21.95" customHeight="1"/>
    <row r="48" ht="21.95" customHeight="1"/>
    <row r="49" ht="21.95" customHeight="1"/>
    <row r="50" ht="21.95" customHeight="1"/>
    <row r="51" ht="21.95" customHeight="1"/>
    <row r="52" ht="21.95" customHeight="1"/>
    <row r="53" ht="21.95" customHeight="1"/>
    <row r="54" ht="21.95" customHeight="1"/>
    <row r="55" ht="21.95" customHeight="1"/>
    <row r="56" ht="21.95" customHeight="1"/>
    <row r="57" ht="21.95" customHeight="1"/>
    <row r="58" ht="21.95" customHeight="1"/>
    <row r="59" ht="21.95" customHeight="1"/>
    <row r="60" ht="21.95" customHeight="1"/>
    <row r="61" ht="21.95" customHeight="1"/>
    <row r="62" ht="21.95" customHeight="1"/>
    <row r="63" ht="21.95" customHeight="1"/>
    <row r="64" ht="21.95" customHeight="1"/>
    <row r="65" ht="21.95" customHeight="1"/>
    <row r="66" ht="21.95" customHeight="1"/>
    <row r="67" ht="21.95" customHeight="1"/>
    <row r="68" ht="21.95" customHeight="1"/>
    <row r="69" ht="21.95" customHeight="1"/>
    <row r="70" ht="21.95" customHeight="1"/>
    <row r="71" ht="21.95" customHeight="1"/>
    <row r="72" ht="21.95" customHeight="1"/>
    <row r="73" ht="21.95" customHeight="1"/>
    <row r="74" ht="21.95" customHeight="1"/>
    <row r="75" ht="21.95" customHeight="1"/>
    <row r="76" ht="21.95" customHeight="1"/>
    <row r="77" ht="21.95" customHeight="1"/>
    <row r="78" ht="21.95" customHeight="1"/>
    <row r="79" ht="21.95" customHeight="1"/>
    <row r="80" ht="21.95" customHeight="1"/>
  </sheetData>
  <mergeCells count="5">
    <mergeCell ref="A1:H2"/>
    <mergeCell ref="A3:H3"/>
    <mergeCell ref="A16:H16"/>
    <mergeCell ref="A22:H22"/>
    <mergeCell ref="F23:H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80"/>
  <sheetViews>
    <sheetView workbookViewId="0">
      <selection sqref="A1:N2"/>
    </sheetView>
  </sheetViews>
  <sheetFormatPr baseColWidth="10" defaultColWidth="9" defaultRowHeight="14.25"/>
  <cols>
    <col min="1" max="1" width="25" customWidth="1"/>
    <col min="2" max="2" width="18" customWidth="1"/>
    <col min="3" max="5" width="17" customWidth="1"/>
    <col min="6" max="6" width="15" customWidth="1"/>
    <col min="7" max="7" width="3" customWidth="1"/>
    <col min="8" max="14" width="16" customWidth="1"/>
  </cols>
  <sheetData>
    <row r="1" spans="1:14" ht="21.95" customHeight="1">
      <c r="A1" s="41" t="s">
        <v>155</v>
      </c>
      <c r="B1" s="42"/>
      <c r="C1" s="42"/>
      <c r="D1" s="42"/>
      <c r="E1" s="42"/>
      <c r="F1" s="42"/>
      <c r="G1" s="42"/>
      <c r="H1" s="42"/>
      <c r="I1" s="42"/>
      <c r="J1" s="42"/>
      <c r="K1" s="42"/>
      <c r="L1" s="42"/>
      <c r="M1" s="42"/>
      <c r="N1" s="42"/>
    </row>
    <row r="2" spans="1:14" ht="21.95" customHeight="1">
      <c r="A2" s="42"/>
      <c r="B2" s="42"/>
      <c r="C2" s="42"/>
      <c r="D2" s="42"/>
      <c r="E2" s="42"/>
      <c r="F2" s="42"/>
      <c r="G2" s="42"/>
      <c r="H2" s="42"/>
      <c r="I2" s="42"/>
      <c r="J2" s="42"/>
      <c r="K2" s="42"/>
      <c r="L2" s="42"/>
      <c r="M2" s="42"/>
      <c r="N2" s="42"/>
    </row>
    <row r="3" spans="1:14" ht="21.95" customHeight="1">
      <c r="A3" s="43" t="s">
        <v>156</v>
      </c>
      <c r="B3" s="42"/>
      <c r="C3" s="42"/>
      <c r="D3" s="42"/>
      <c r="E3" s="42"/>
      <c r="F3" s="42"/>
      <c r="G3" s="42"/>
      <c r="H3" s="42"/>
      <c r="I3" s="42"/>
      <c r="J3" s="42"/>
      <c r="K3" s="42"/>
      <c r="L3" s="42"/>
      <c r="M3" s="42"/>
      <c r="N3" s="42"/>
    </row>
    <row r="4" spans="1:14" ht="21.95" customHeight="1"/>
    <row r="5" spans="1:14" ht="21.95" customHeight="1">
      <c r="A5" s="5" t="s">
        <v>157</v>
      </c>
      <c r="B5" s="5" t="s">
        <v>158</v>
      </c>
      <c r="C5" s="5" t="s">
        <v>159</v>
      </c>
      <c r="D5" s="5" t="s">
        <v>160</v>
      </c>
      <c r="E5" s="5" t="s">
        <v>161</v>
      </c>
      <c r="F5" s="5" t="s">
        <v>162</v>
      </c>
    </row>
    <row r="6" spans="1:14" ht="21.95" customHeight="1">
      <c r="A6" s="2" t="s">
        <v>163</v>
      </c>
      <c r="B6" s="2" t="s">
        <v>164</v>
      </c>
      <c r="C6" s="2">
        <v>0</v>
      </c>
      <c r="D6" s="6">
        <f>C6</f>
        <v>0</v>
      </c>
      <c r="E6" s="6">
        <v>0</v>
      </c>
      <c r="F6" s="6">
        <v>67</v>
      </c>
    </row>
    <row r="7" spans="1:14" ht="21.95" customHeight="1">
      <c r="A7" s="2" t="s">
        <v>80</v>
      </c>
      <c r="B7" s="2" t="s">
        <v>165</v>
      </c>
      <c r="C7" s="2">
        <v>8</v>
      </c>
      <c r="D7" s="6">
        <f t="shared" ref="D7:D15" si="0">D6+C7</f>
        <v>8</v>
      </c>
      <c r="E7" s="6">
        <v>8</v>
      </c>
      <c r="F7" s="6">
        <v>67</v>
      </c>
    </row>
    <row r="8" spans="1:14" ht="21.95" customHeight="1">
      <c r="A8" s="2" t="s">
        <v>85</v>
      </c>
      <c r="B8" s="2" t="s">
        <v>166</v>
      </c>
      <c r="C8" s="2">
        <v>8</v>
      </c>
      <c r="D8" s="6">
        <f t="shared" si="0"/>
        <v>16</v>
      </c>
      <c r="E8" s="6">
        <v>16</v>
      </c>
      <c r="F8" s="6">
        <v>67</v>
      </c>
    </row>
    <row r="9" spans="1:14" ht="21.95" customHeight="1">
      <c r="A9" s="2" t="s">
        <v>91</v>
      </c>
      <c r="B9" s="2" t="s">
        <v>167</v>
      </c>
      <c r="C9" s="2">
        <v>9</v>
      </c>
      <c r="D9" s="6">
        <f t="shared" si="0"/>
        <v>25</v>
      </c>
      <c r="E9" s="6">
        <v>25</v>
      </c>
      <c r="F9" s="6">
        <v>67</v>
      </c>
    </row>
    <row r="10" spans="1:14" ht="21.95" customHeight="1">
      <c r="A10" s="2" t="s">
        <v>168</v>
      </c>
      <c r="B10" s="2" t="s">
        <v>169</v>
      </c>
      <c r="C10" s="2">
        <v>13</v>
      </c>
      <c r="D10" s="6">
        <f t="shared" si="0"/>
        <v>38</v>
      </c>
      <c r="E10" s="6">
        <v>33</v>
      </c>
      <c r="F10" s="6">
        <v>67</v>
      </c>
    </row>
    <row r="11" spans="1:14" ht="21.95" customHeight="1">
      <c r="A11" s="2" t="s">
        <v>170</v>
      </c>
      <c r="B11" s="2" t="s">
        <v>171</v>
      </c>
      <c r="C11" s="2">
        <v>8</v>
      </c>
      <c r="D11" s="6">
        <f t="shared" si="0"/>
        <v>46</v>
      </c>
      <c r="E11" s="6">
        <v>41</v>
      </c>
      <c r="F11" s="6">
        <v>67</v>
      </c>
    </row>
    <row r="12" spans="1:14" ht="21.95" customHeight="1">
      <c r="A12" s="10" t="s">
        <v>172</v>
      </c>
      <c r="B12" s="10" t="s">
        <v>173</v>
      </c>
      <c r="C12" s="10">
        <v>45</v>
      </c>
      <c r="D12" s="23">
        <f t="shared" si="0"/>
        <v>91</v>
      </c>
      <c r="E12" s="23">
        <v>41</v>
      </c>
      <c r="F12" s="23">
        <v>187</v>
      </c>
    </row>
    <row r="13" spans="1:14" ht="21.95" customHeight="1">
      <c r="A13" s="12" t="s">
        <v>114</v>
      </c>
      <c r="B13" s="12" t="s">
        <v>174</v>
      </c>
      <c r="C13" s="12">
        <v>0</v>
      </c>
      <c r="D13" s="25">
        <f t="shared" si="0"/>
        <v>91</v>
      </c>
      <c r="E13" s="25">
        <v>41</v>
      </c>
      <c r="F13" s="25">
        <v>187</v>
      </c>
    </row>
    <row r="14" spans="1:14" ht="21.95" customHeight="1">
      <c r="A14" s="2" t="s">
        <v>175</v>
      </c>
      <c r="B14" s="2" t="s">
        <v>136</v>
      </c>
      <c r="C14" s="2">
        <v>57</v>
      </c>
      <c r="D14" s="6">
        <f t="shared" si="0"/>
        <v>148</v>
      </c>
      <c r="E14" s="35">
        <v>41</v>
      </c>
      <c r="F14" s="6">
        <v>187</v>
      </c>
    </row>
    <row r="15" spans="1:14" ht="21.95" customHeight="1">
      <c r="A15" s="2" t="s">
        <v>176</v>
      </c>
      <c r="B15" s="2" t="s">
        <v>136</v>
      </c>
      <c r="C15" s="2">
        <v>39</v>
      </c>
      <c r="D15" s="6">
        <f t="shared" si="0"/>
        <v>187</v>
      </c>
      <c r="E15" s="35">
        <v>41</v>
      </c>
      <c r="F15" s="6">
        <v>187</v>
      </c>
    </row>
    <row r="16" spans="1:14" ht="21.95" customHeight="1"/>
    <row r="17" spans="1:14" ht="21.95" customHeight="1">
      <c r="A17" s="44" t="s">
        <v>177</v>
      </c>
      <c r="B17" s="44"/>
      <c r="C17" s="44"/>
      <c r="D17" s="44"/>
      <c r="E17" s="44"/>
      <c r="F17" s="44"/>
    </row>
    <row r="18" spans="1:14" ht="21.95" customHeight="1">
      <c r="A18" s="5" t="s">
        <v>23</v>
      </c>
      <c r="B18" s="5" t="s">
        <v>24</v>
      </c>
      <c r="C18" s="5" t="s">
        <v>26</v>
      </c>
    </row>
    <row r="19" spans="1:14" ht="21.95" customHeight="1">
      <c r="A19" t="s">
        <v>178</v>
      </c>
      <c r="B19" s="29">
        <f>E13/D13</f>
        <v>0.45054945054945056</v>
      </c>
      <c r="C19" t="s">
        <v>179</v>
      </c>
    </row>
    <row r="20" spans="1:14" ht="21.95" customHeight="1">
      <c r="A20" t="s">
        <v>180</v>
      </c>
      <c r="B20" s="29">
        <f>E13/F13</f>
        <v>0.21925133689839571</v>
      </c>
      <c r="C20" t="s">
        <v>181</v>
      </c>
    </row>
    <row r="21" spans="1:14" ht="21.95" customHeight="1">
      <c r="A21" t="s">
        <v>182</v>
      </c>
      <c r="B21" s="28">
        <f>D13-E13</f>
        <v>50</v>
      </c>
      <c r="C21" t="s">
        <v>183</v>
      </c>
    </row>
    <row r="22" spans="1:14" ht="21.95" customHeight="1">
      <c r="A22" t="s">
        <v>184</v>
      </c>
      <c r="B22" s="28">
        <f>F13-E13</f>
        <v>146</v>
      </c>
      <c r="C22" t="s">
        <v>185</v>
      </c>
      <c r="H22" s="46" t="s">
        <v>186</v>
      </c>
      <c r="I22" s="46"/>
      <c r="J22" s="46"/>
      <c r="K22" s="46"/>
      <c r="L22" s="46"/>
      <c r="M22" s="46"/>
      <c r="N22" s="46"/>
    </row>
    <row r="23" spans="1:14" ht="21.95" customHeight="1">
      <c r="A23" t="s">
        <v>187</v>
      </c>
      <c r="B23" s="28">
        <f>B21+57</f>
        <v>107</v>
      </c>
      <c r="C23" t="s">
        <v>188</v>
      </c>
      <c r="H23" s="46"/>
      <c r="I23" s="46"/>
      <c r="J23" s="46"/>
      <c r="K23" s="46"/>
      <c r="L23" s="46"/>
      <c r="M23" s="46"/>
      <c r="N23" s="46"/>
    </row>
    <row r="24" spans="1:14" ht="21.95" customHeight="1">
      <c r="A24" t="s">
        <v>189</v>
      </c>
      <c r="B24" s="28">
        <v>47</v>
      </c>
      <c r="C24" t="s">
        <v>190</v>
      </c>
      <c r="H24" s="46"/>
      <c r="I24" s="46"/>
      <c r="J24" s="46"/>
      <c r="K24" s="46"/>
      <c r="L24" s="46"/>
      <c r="M24" s="46"/>
      <c r="N24" s="46"/>
    </row>
    <row r="25" spans="1:14" ht="21.95" customHeight="1">
      <c r="H25" s="46"/>
      <c r="I25" s="46"/>
      <c r="J25" s="46"/>
      <c r="K25" s="46"/>
      <c r="L25" s="46"/>
      <c r="M25" s="46"/>
      <c r="N25" s="46"/>
    </row>
    <row r="26" spans="1:14" ht="21.95" customHeight="1"/>
    <row r="27" spans="1:14" ht="21.95" customHeight="1"/>
    <row r="28" spans="1:14" ht="21.95" customHeight="1"/>
    <row r="29" spans="1:14" ht="21.95" customHeight="1"/>
    <row r="30" spans="1:14" ht="21.95" customHeight="1"/>
    <row r="31" spans="1:14" ht="21.95" customHeight="1"/>
    <row r="32" spans="1:14" ht="21.95" customHeight="1"/>
    <row r="33" ht="21.95" customHeight="1"/>
    <row r="34" ht="21.95" customHeight="1"/>
    <row r="35" ht="21.95" customHeight="1"/>
    <row r="36" ht="21.95" customHeight="1"/>
    <row r="37" ht="21.95" customHeight="1"/>
    <row r="38" ht="21.95" customHeight="1"/>
    <row r="39" ht="21.95" customHeight="1"/>
    <row r="40" ht="21.95" customHeight="1"/>
    <row r="41" ht="21.95" customHeight="1"/>
    <row r="42" ht="21.95" customHeight="1"/>
    <row r="43" ht="21.95" customHeight="1"/>
    <row r="44" ht="21.95" customHeight="1"/>
    <row r="45" ht="21.95" customHeight="1"/>
    <row r="46" ht="21.95" customHeight="1"/>
    <row r="47" ht="21.95" customHeight="1"/>
    <row r="48" ht="21.95" customHeight="1"/>
    <row r="49" ht="21.95" customHeight="1"/>
    <row r="50" ht="21.95" customHeight="1"/>
    <row r="51" ht="21.95" customHeight="1"/>
    <row r="52" ht="21.95" customHeight="1"/>
    <row r="53" ht="21.95" customHeight="1"/>
    <row r="54" ht="21.95" customHeight="1"/>
    <row r="55" ht="21.95" customHeight="1"/>
    <row r="56" ht="21.95" customHeight="1"/>
    <row r="57" ht="21.95" customHeight="1"/>
    <row r="58" ht="21.95" customHeight="1"/>
    <row r="59" ht="21.95" customHeight="1"/>
    <row r="60" ht="21.95" customHeight="1"/>
    <row r="61" ht="21.95" customHeight="1"/>
    <row r="62" ht="21.95" customHeight="1"/>
    <row r="63" ht="21.95" customHeight="1"/>
    <row r="64" ht="21.95" customHeight="1"/>
    <row r="65" ht="21.95" customHeight="1"/>
    <row r="66" ht="21.95" customHeight="1"/>
    <row r="67" ht="21.95" customHeight="1"/>
    <row r="68" ht="21.95" customHeight="1"/>
    <row r="69" ht="21.95" customHeight="1"/>
    <row r="70" ht="21.95" customHeight="1"/>
    <row r="71" ht="21.95" customHeight="1"/>
    <row r="72" ht="21.95" customHeight="1"/>
    <row r="73" ht="21.95" customHeight="1"/>
    <row r="74" ht="21.95" customHeight="1"/>
    <row r="75" ht="21.95" customHeight="1"/>
    <row r="76" ht="21.95" customHeight="1"/>
    <row r="77" ht="21.95" customHeight="1"/>
    <row r="78" ht="21.95" customHeight="1"/>
    <row r="79" ht="21.95" customHeight="1"/>
    <row r="80" ht="21.95" customHeight="1"/>
  </sheetData>
  <mergeCells count="4">
    <mergeCell ref="A1:N2"/>
    <mergeCell ref="A3:N3"/>
    <mergeCell ref="A17:F17"/>
    <mergeCell ref="H22:N2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0"/>
  <sheetViews>
    <sheetView workbookViewId="0">
      <selection sqref="A1:D2"/>
    </sheetView>
  </sheetViews>
  <sheetFormatPr baseColWidth="10" defaultColWidth="9" defaultRowHeight="14.25"/>
  <cols>
    <col min="1" max="1" width="50" customWidth="1"/>
    <col min="2" max="2" width="16" customWidth="1"/>
    <col min="3" max="3" width="42" customWidth="1"/>
    <col min="4" max="4" width="40" customWidth="1"/>
  </cols>
  <sheetData>
    <row r="1" spans="1:4" ht="21.95" customHeight="1">
      <c r="A1" s="41" t="s">
        <v>191</v>
      </c>
      <c r="B1" s="42"/>
      <c r="C1" s="42"/>
      <c r="D1" s="42"/>
    </row>
    <row r="2" spans="1:4" ht="21.95" customHeight="1">
      <c r="A2" s="42"/>
      <c r="B2" s="42"/>
      <c r="C2" s="42"/>
      <c r="D2" s="42"/>
    </row>
    <row r="3" spans="1:4" ht="21.95" customHeight="1">
      <c r="A3" s="43" t="s">
        <v>192</v>
      </c>
      <c r="B3" s="42"/>
      <c r="C3" s="42"/>
      <c r="D3" s="42"/>
    </row>
    <row r="4" spans="1:4" ht="21.95" customHeight="1"/>
    <row r="5" spans="1:4" ht="21.95" customHeight="1">
      <c r="A5" s="5" t="s">
        <v>193</v>
      </c>
      <c r="B5" s="5" t="s">
        <v>194</v>
      </c>
      <c r="C5" s="5" t="s">
        <v>195</v>
      </c>
      <c r="D5" s="5" t="s">
        <v>196</v>
      </c>
    </row>
    <row r="6" spans="1:4" ht="21.95" customHeight="1">
      <c r="A6" s="2" t="s">
        <v>197</v>
      </c>
      <c r="B6" s="31" t="s">
        <v>198</v>
      </c>
      <c r="C6" s="2" t="s">
        <v>199</v>
      </c>
      <c r="D6" s="2"/>
    </row>
    <row r="7" spans="1:4" ht="21.95" customHeight="1">
      <c r="A7" s="2" t="s">
        <v>200</v>
      </c>
      <c r="B7" s="31" t="s">
        <v>198</v>
      </c>
      <c r="C7" s="2" t="s">
        <v>201</v>
      </c>
      <c r="D7" s="2"/>
    </row>
    <row r="8" spans="1:4" ht="21.95" customHeight="1">
      <c r="A8" s="2" t="s">
        <v>202</v>
      </c>
      <c r="B8" s="31" t="s">
        <v>198</v>
      </c>
      <c r="C8" s="2" t="s">
        <v>203</v>
      </c>
      <c r="D8" s="2" t="s">
        <v>204</v>
      </c>
    </row>
    <row r="9" spans="1:4" ht="21.95" customHeight="1">
      <c r="A9" s="2" t="s">
        <v>205</v>
      </c>
      <c r="B9" s="31" t="s">
        <v>198</v>
      </c>
      <c r="C9" s="2" t="s">
        <v>206</v>
      </c>
      <c r="D9" s="2" t="s">
        <v>207</v>
      </c>
    </row>
    <row r="10" spans="1:4" ht="21.95" customHeight="1">
      <c r="A10" s="2" t="s">
        <v>208</v>
      </c>
      <c r="B10" s="31" t="s">
        <v>198</v>
      </c>
      <c r="C10" s="2" t="s">
        <v>209</v>
      </c>
      <c r="D10" s="2"/>
    </row>
    <row r="11" spans="1:4" ht="21.95" customHeight="1">
      <c r="A11" s="2" t="s">
        <v>210</v>
      </c>
      <c r="B11" s="31" t="s">
        <v>198</v>
      </c>
      <c r="C11" s="2" t="s">
        <v>211</v>
      </c>
      <c r="D11" s="2"/>
    </row>
    <row r="12" spans="1:4" ht="21.95" customHeight="1">
      <c r="A12" s="2" t="s">
        <v>212</v>
      </c>
      <c r="B12" s="31" t="s">
        <v>198</v>
      </c>
      <c r="C12" s="2" t="s">
        <v>213</v>
      </c>
      <c r="D12" s="2"/>
    </row>
    <row r="13" spans="1:4" ht="21.95" customHeight="1">
      <c r="A13" s="2" t="s">
        <v>214</v>
      </c>
      <c r="B13" s="31" t="s">
        <v>198</v>
      </c>
      <c r="C13" s="2" t="s">
        <v>215</v>
      </c>
      <c r="D13" s="2"/>
    </row>
    <row r="14" spans="1:4" ht="21.95" customHeight="1">
      <c r="A14" s="2" t="s">
        <v>216</v>
      </c>
      <c r="B14" s="31" t="s">
        <v>198</v>
      </c>
      <c r="C14" s="2" t="s">
        <v>217</v>
      </c>
      <c r="D14" s="2"/>
    </row>
    <row r="15" spans="1:4" ht="21.95" customHeight="1">
      <c r="A15" s="2" t="s">
        <v>218</v>
      </c>
      <c r="B15" s="31" t="s">
        <v>198</v>
      </c>
      <c r="C15" s="2" t="s">
        <v>219</v>
      </c>
      <c r="D15" s="2" t="s">
        <v>220</v>
      </c>
    </row>
    <row r="16" spans="1:4" ht="21.95" customHeight="1">
      <c r="A16" s="2" t="s">
        <v>221</v>
      </c>
      <c r="B16" s="32" t="s">
        <v>222</v>
      </c>
      <c r="C16" s="2" t="s">
        <v>114</v>
      </c>
      <c r="D16" s="2" t="s">
        <v>223</v>
      </c>
    </row>
    <row r="17" ht="21.95" customHeight="1"/>
    <row r="18" ht="21.95" customHeight="1"/>
    <row r="19" ht="21.95" customHeight="1"/>
    <row r="20" ht="21.95" customHeight="1"/>
    <row r="21" ht="21.95" customHeight="1"/>
    <row r="22" ht="21.95" customHeight="1"/>
    <row r="23" ht="21.95" customHeight="1"/>
    <row r="24" ht="21.95" customHeight="1"/>
    <row r="25" ht="21.95" customHeight="1"/>
    <row r="26" ht="21.95" customHeight="1"/>
    <row r="27" ht="21.95" customHeight="1"/>
    <row r="28" ht="21.95" customHeight="1"/>
    <row r="29" ht="21.95" customHeight="1"/>
    <row r="30" ht="21.95" customHeight="1"/>
    <row r="31" ht="21.95" customHeight="1"/>
    <row r="32" ht="21.95" customHeight="1"/>
    <row r="33" ht="21.95" customHeight="1"/>
    <row r="34" ht="21.95" customHeight="1"/>
    <row r="35" ht="21.95" customHeight="1"/>
    <row r="36" ht="21.95" customHeight="1"/>
    <row r="37" ht="21.95" customHeight="1"/>
    <row r="38" ht="21.95" customHeight="1"/>
    <row r="39" ht="21.95" customHeight="1"/>
    <row r="40" ht="21.95" customHeight="1"/>
    <row r="41" ht="21.95" customHeight="1"/>
    <row r="42" ht="21.95" customHeight="1"/>
    <row r="43" ht="21.95" customHeight="1"/>
    <row r="44" ht="21.95" customHeight="1"/>
    <row r="45" ht="21.95" customHeight="1"/>
    <row r="46" ht="21.95" customHeight="1"/>
    <row r="47" ht="21.95" customHeight="1"/>
    <row r="48" ht="21.95" customHeight="1"/>
    <row r="49" ht="21.95" customHeight="1"/>
    <row r="50" ht="21.95" customHeight="1"/>
    <row r="51" ht="21.95" customHeight="1"/>
    <row r="52" ht="21.95" customHeight="1"/>
    <row r="53" ht="21.95" customHeight="1"/>
    <row r="54" ht="21.95" customHeight="1"/>
    <row r="55" ht="21.95" customHeight="1"/>
    <row r="56" ht="21.95" customHeight="1"/>
    <row r="57" ht="21.95" customHeight="1"/>
    <row r="58" ht="21.95" customHeight="1"/>
    <row r="59" ht="21.95" customHeight="1"/>
    <row r="60" ht="21.95" customHeight="1"/>
    <row r="61" ht="21.95" customHeight="1"/>
    <row r="62" ht="21.95" customHeight="1"/>
    <row r="63" ht="21.95" customHeight="1"/>
    <row r="64" ht="21.95" customHeight="1"/>
    <row r="65" ht="21.95" customHeight="1"/>
    <row r="66" ht="21.95" customHeight="1"/>
    <row r="67" ht="21.95" customHeight="1"/>
    <row r="68" ht="21.95" customHeight="1"/>
    <row r="69" ht="21.95" customHeight="1"/>
    <row r="70" ht="21.95" customHeight="1"/>
    <row r="71" ht="21.95" customHeight="1"/>
    <row r="72" ht="21.95" customHeight="1"/>
    <row r="73" ht="21.95" customHeight="1"/>
    <row r="74" ht="21.95" customHeight="1"/>
    <row r="75" ht="21.95" customHeight="1"/>
    <row r="76" ht="21.95" customHeight="1"/>
    <row r="77" ht="21.95" customHeight="1"/>
    <row r="78" ht="21.95" customHeight="1"/>
    <row r="79" ht="21.95" customHeight="1"/>
    <row r="80" ht="21.95" customHeight="1"/>
  </sheetData>
  <mergeCells count="2">
    <mergeCell ref="A1:D2"/>
    <mergeCell ref="A3:D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80"/>
  <sheetViews>
    <sheetView workbookViewId="0">
      <selection sqref="A1:F2"/>
    </sheetView>
  </sheetViews>
  <sheetFormatPr baseColWidth="10" defaultColWidth="9" defaultRowHeight="14.25"/>
  <cols>
    <col min="1" max="1" width="13" customWidth="1"/>
    <col min="2" max="2" width="43" customWidth="1"/>
    <col min="3" max="4" width="38" customWidth="1"/>
    <col min="5" max="5" width="26" customWidth="1"/>
    <col min="6" max="6" width="14" customWidth="1"/>
  </cols>
  <sheetData>
    <row r="1" spans="1:6" ht="21.95" customHeight="1">
      <c r="A1" s="41" t="s">
        <v>224</v>
      </c>
      <c r="B1" s="42"/>
      <c r="C1" s="42"/>
      <c r="D1" s="42"/>
      <c r="E1" s="42"/>
      <c r="F1" s="42"/>
    </row>
    <row r="2" spans="1:6" ht="21.95" customHeight="1">
      <c r="A2" s="42"/>
      <c r="B2" s="42"/>
      <c r="C2" s="42"/>
      <c r="D2" s="42"/>
      <c r="E2" s="42"/>
      <c r="F2" s="42"/>
    </row>
    <row r="3" spans="1:6" ht="21.95" customHeight="1">
      <c r="A3" s="43" t="s">
        <v>225</v>
      </c>
      <c r="B3" s="42"/>
      <c r="C3" s="42"/>
      <c r="D3" s="42"/>
      <c r="E3" s="42"/>
      <c r="F3" s="42"/>
    </row>
    <row r="4" spans="1:6" ht="21.95" customHeight="1"/>
    <row r="5" spans="1:6" ht="21.95" customHeight="1">
      <c r="A5" s="5" t="s">
        <v>123</v>
      </c>
      <c r="B5" s="5" t="s">
        <v>226</v>
      </c>
      <c r="C5" s="5" t="s">
        <v>227</v>
      </c>
      <c r="D5" s="5" t="s">
        <v>228</v>
      </c>
      <c r="E5" s="5" t="s">
        <v>229</v>
      </c>
      <c r="F5" s="5" t="s">
        <v>17</v>
      </c>
    </row>
    <row r="6" spans="1:6" ht="57.95" customHeight="1">
      <c r="A6" s="26" t="s">
        <v>230</v>
      </c>
      <c r="B6" s="26" t="s">
        <v>231</v>
      </c>
      <c r="C6" s="26" t="s">
        <v>232</v>
      </c>
      <c r="D6" s="26" t="s">
        <v>233</v>
      </c>
      <c r="E6" s="26" t="s">
        <v>234</v>
      </c>
      <c r="F6" s="26" t="s">
        <v>235</v>
      </c>
    </row>
    <row r="7" spans="1:6" ht="57.95" customHeight="1">
      <c r="A7" s="9" t="s">
        <v>236</v>
      </c>
      <c r="B7" s="9" t="s">
        <v>237</v>
      </c>
      <c r="C7" s="9" t="s">
        <v>238</v>
      </c>
      <c r="D7" s="9" t="s">
        <v>239</v>
      </c>
      <c r="E7" s="9" t="s">
        <v>240</v>
      </c>
      <c r="F7" s="9" t="s">
        <v>235</v>
      </c>
    </row>
    <row r="8" spans="1:6" ht="57.95" customHeight="1">
      <c r="A8" s="9" t="s">
        <v>236</v>
      </c>
      <c r="B8" s="9" t="s">
        <v>241</v>
      </c>
      <c r="C8" s="9" t="s">
        <v>242</v>
      </c>
      <c r="D8" s="9" t="s">
        <v>243</v>
      </c>
      <c r="E8" s="9" t="s">
        <v>244</v>
      </c>
      <c r="F8" s="9" t="s">
        <v>245</v>
      </c>
    </row>
    <row r="9" spans="1:6" ht="57.95" customHeight="1">
      <c r="A9" s="9" t="s">
        <v>236</v>
      </c>
      <c r="B9" s="9" t="s">
        <v>246</v>
      </c>
      <c r="C9" s="9" t="s">
        <v>247</v>
      </c>
      <c r="D9" s="9" t="s">
        <v>248</v>
      </c>
      <c r="E9" s="9" t="s">
        <v>249</v>
      </c>
      <c r="F9" s="9" t="s">
        <v>235</v>
      </c>
    </row>
    <row r="10" spans="1:6" ht="57.95" customHeight="1">
      <c r="A10" s="9" t="s">
        <v>236</v>
      </c>
      <c r="B10" s="9" t="s">
        <v>250</v>
      </c>
      <c r="C10" s="9" t="s">
        <v>247</v>
      </c>
      <c r="D10" s="9" t="s">
        <v>251</v>
      </c>
      <c r="E10" s="9" t="s">
        <v>252</v>
      </c>
      <c r="F10" s="9" t="s">
        <v>235</v>
      </c>
    </row>
    <row r="11" spans="1:6" ht="57.95" customHeight="1">
      <c r="A11" s="10" t="s">
        <v>253</v>
      </c>
      <c r="B11" s="10" t="s">
        <v>254</v>
      </c>
      <c r="C11" s="10" t="s">
        <v>255</v>
      </c>
      <c r="D11" s="10" t="s">
        <v>256</v>
      </c>
      <c r="E11" s="10" t="s">
        <v>257</v>
      </c>
      <c r="F11" s="10" t="s">
        <v>235</v>
      </c>
    </row>
    <row r="12" spans="1:6" ht="57.95" customHeight="1">
      <c r="A12" s="10" t="s">
        <v>253</v>
      </c>
      <c r="B12" s="10" t="s">
        <v>258</v>
      </c>
      <c r="C12" s="10" t="s">
        <v>259</v>
      </c>
      <c r="D12" s="10" t="s">
        <v>260</v>
      </c>
      <c r="E12" s="10" t="s">
        <v>261</v>
      </c>
      <c r="F12" s="10" t="s">
        <v>245</v>
      </c>
    </row>
    <row r="13" spans="1:6" ht="57.95" customHeight="1">
      <c r="A13" s="10" t="s">
        <v>253</v>
      </c>
      <c r="B13" s="10" t="s">
        <v>262</v>
      </c>
      <c r="C13" s="10" t="s">
        <v>263</v>
      </c>
      <c r="D13" s="10" t="s">
        <v>264</v>
      </c>
      <c r="E13" s="10" t="s">
        <v>265</v>
      </c>
      <c r="F13" s="10" t="s">
        <v>235</v>
      </c>
    </row>
    <row r="14" spans="1:6" ht="57.95" customHeight="1">
      <c r="A14" s="10" t="s">
        <v>253</v>
      </c>
      <c r="B14" s="10" t="s">
        <v>266</v>
      </c>
      <c r="C14" s="10" t="s">
        <v>267</v>
      </c>
      <c r="D14" s="10" t="s">
        <v>268</v>
      </c>
      <c r="E14" s="10" t="s">
        <v>269</v>
      </c>
      <c r="F14" s="10" t="s">
        <v>235</v>
      </c>
    </row>
    <row r="15" spans="1:6" ht="57.95" customHeight="1">
      <c r="A15" s="27" t="s">
        <v>270</v>
      </c>
      <c r="B15" s="27" t="s">
        <v>271</v>
      </c>
      <c r="C15" s="27" t="s">
        <v>272</v>
      </c>
      <c r="D15" s="27" t="s">
        <v>273</v>
      </c>
      <c r="E15" s="27" t="s">
        <v>274</v>
      </c>
      <c r="F15" s="27" t="s">
        <v>235</v>
      </c>
    </row>
    <row r="16" spans="1:6" ht="21.95" customHeight="1"/>
    <row r="17" ht="21.95" customHeight="1"/>
    <row r="18" ht="21.95" customHeight="1"/>
    <row r="19" ht="21.95" customHeight="1"/>
    <row r="20" ht="21.95" customHeight="1"/>
    <row r="21" ht="21.95" customHeight="1"/>
    <row r="22" ht="21.95" customHeight="1"/>
    <row r="23" ht="21.95" customHeight="1"/>
    <row r="24" ht="21.95" customHeight="1"/>
    <row r="25" ht="21.95" customHeight="1"/>
    <row r="26" ht="21.95" customHeight="1"/>
    <row r="27" ht="21.95" customHeight="1"/>
    <row r="28" ht="21.95" customHeight="1"/>
    <row r="29" ht="21.95" customHeight="1"/>
    <row r="30" ht="21.95" customHeight="1"/>
    <row r="31" ht="21.95" customHeight="1"/>
    <row r="32" ht="21.95" customHeight="1"/>
    <row r="33" ht="21.95" customHeight="1"/>
    <row r="34" ht="21.95" customHeight="1"/>
    <row r="35" ht="21.95" customHeight="1"/>
    <row r="36" ht="21.95" customHeight="1"/>
    <row r="37" ht="21.95" customHeight="1"/>
    <row r="38" ht="21.95" customHeight="1"/>
    <row r="39" ht="21.95" customHeight="1"/>
    <row r="40" ht="21.95" customHeight="1"/>
    <row r="41" ht="21.95" customHeight="1"/>
    <row r="42" ht="21.95" customHeight="1"/>
    <row r="43" ht="21.95" customHeight="1"/>
    <row r="44" ht="21.95" customHeight="1"/>
    <row r="45" ht="21.95" customHeight="1"/>
    <row r="46" ht="21.95" customHeight="1"/>
    <row r="47" ht="21.95" customHeight="1"/>
    <row r="48" ht="21.95" customHeight="1"/>
    <row r="49" ht="21.95" customHeight="1"/>
    <row r="50" ht="21.95" customHeight="1"/>
    <row r="51" ht="21.95" customHeight="1"/>
    <row r="52" ht="21.95" customHeight="1"/>
    <row r="53" ht="21.95" customHeight="1"/>
    <row r="54" ht="21.95" customHeight="1"/>
    <row r="55" ht="21.95" customHeight="1"/>
    <row r="56" ht="21.95" customHeight="1"/>
    <row r="57" ht="21.95" customHeight="1"/>
    <row r="58" ht="21.95" customHeight="1"/>
    <row r="59" ht="21.95" customHeight="1"/>
    <row r="60" ht="21.95" customHeight="1"/>
    <row r="61" ht="21.95" customHeight="1"/>
    <row r="62" ht="21.95" customHeight="1"/>
    <row r="63" ht="21.95" customHeight="1"/>
    <row r="64" ht="21.95" customHeight="1"/>
    <row r="65" ht="21.95" customHeight="1"/>
    <row r="66" ht="21.95" customHeight="1"/>
    <row r="67" ht="21.95" customHeight="1"/>
    <row r="68" ht="21.95" customHeight="1"/>
    <row r="69" ht="21.95" customHeight="1"/>
    <row r="70" ht="21.95" customHeight="1"/>
    <row r="71" ht="21.95" customHeight="1"/>
    <row r="72" ht="21.95" customHeight="1"/>
    <row r="73" ht="21.95" customHeight="1"/>
    <row r="74" ht="21.95" customHeight="1"/>
    <row r="75" ht="21.95" customHeight="1"/>
    <row r="76" ht="21.95" customHeight="1"/>
    <row r="77" ht="21.95" customHeight="1"/>
    <row r="78" ht="21.95" customHeight="1"/>
    <row r="79" ht="21.95" customHeight="1"/>
    <row r="80" ht="21.95" customHeight="1"/>
  </sheetData>
  <mergeCells count="2">
    <mergeCell ref="A1:F2"/>
    <mergeCell ref="A3:F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80"/>
  <sheetViews>
    <sheetView workbookViewId="0">
      <selection sqref="A1:I2"/>
    </sheetView>
  </sheetViews>
  <sheetFormatPr baseColWidth="10" defaultColWidth="9" defaultRowHeight="14.25"/>
  <cols>
    <col min="1" max="1" width="28" customWidth="1"/>
    <col min="2" max="2" width="30" customWidth="1"/>
    <col min="3" max="4" width="11" customWidth="1"/>
    <col min="5" max="5" width="12" customWidth="1"/>
    <col min="6" max="6" width="27" customWidth="1"/>
    <col min="7" max="7" width="10" customWidth="1"/>
    <col min="8" max="8" width="31" customWidth="1"/>
    <col min="9" max="9" width="37" customWidth="1"/>
  </cols>
  <sheetData>
    <row r="1" spans="1:9" ht="21.95" customHeight="1">
      <c r="A1" s="41" t="s">
        <v>275</v>
      </c>
      <c r="B1" s="42"/>
      <c r="C1" s="42"/>
      <c r="D1" s="42"/>
      <c r="E1" s="42"/>
      <c r="F1" s="42"/>
      <c r="G1" s="42"/>
      <c r="H1" s="42"/>
      <c r="I1" s="42"/>
    </row>
    <row r="2" spans="1:9" ht="21.95" customHeight="1">
      <c r="A2" s="42"/>
      <c r="B2" s="42"/>
      <c r="C2" s="42"/>
      <c r="D2" s="42"/>
      <c r="E2" s="42"/>
      <c r="F2" s="42"/>
      <c r="G2" s="42"/>
      <c r="H2" s="42"/>
      <c r="I2" s="42"/>
    </row>
    <row r="3" spans="1:9" ht="21.95" customHeight="1">
      <c r="A3" s="43" t="s">
        <v>276</v>
      </c>
      <c r="B3" s="42"/>
      <c r="C3" s="42"/>
      <c r="D3" s="42"/>
      <c r="E3" s="42"/>
      <c r="F3" s="42"/>
      <c r="G3" s="42"/>
      <c r="H3" s="42"/>
      <c r="I3" s="42"/>
    </row>
    <row r="4" spans="1:9" ht="21.95" customHeight="1"/>
    <row r="5" spans="1:9" ht="21.95" customHeight="1">
      <c r="A5" s="5" t="s">
        <v>277</v>
      </c>
      <c r="B5" s="5" t="s">
        <v>278</v>
      </c>
      <c r="C5" s="5" t="s">
        <v>279</v>
      </c>
      <c r="D5" s="5" t="s">
        <v>280</v>
      </c>
      <c r="E5" s="5" t="s">
        <v>148</v>
      </c>
      <c r="F5" s="5" t="s">
        <v>281</v>
      </c>
      <c r="G5" s="5" t="s">
        <v>282</v>
      </c>
      <c r="H5" s="5" t="s">
        <v>283</v>
      </c>
      <c r="I5" s="5" t="s">
        <v>126</v>
      </c>
    </row>
    <row r="6" spans="1:9" ht="21.95" customHeight="1">
      <c r="A6" s="2" t="s">
        <v>284</v>
      </c>
      <c r="B6" s="2" t="s">
        <v>285</v>
      </c>
      <c r="C6" s="6">
        <v>6</v>
      </c>
      <c r="D6" s="25">
        <v>6</v>
      </c>
      <c r="E6" s="25">
        <v>0</v>
      </c>
      <c r="F6" s="6" t="s">
        <v>286</v>
      </c>
      <c r="G6" s="6">
        <v>0</v>
      </c>
      <c r="H6" s="2" t="s">
        <v>287</v>
      </c>
      <c r="I6" s="2" t="s">
        <v>288</v>
      </c>
    </row>
    <row r="7" spans="1:9" ht="21.95" customHeight="1">
      <c r="A7" s="2" t="s">
        <v>289</v>
      </c>
      <c r="B7" s="2" t="s">
        <v>290</v>
      </c>
      <c r="C7" s="6">
        <v>5</v>
      </c>
      <c r="D7" s="25">
        <v>5</v>
      </c>
      <c r="E7" s="25">
        <v>0</v>
      </c>
      <c r="F7" s="6" t="s">
        <v>291</v>
      </c>
      <c r="G7" s="6">
        <v>5</v>
      </c>
      <c r="H7" s="2" t="s">
        <v>292</v>
      </c>
      <c r="I7" s="2" t="s">
        <v>288</v>
      </c>
    </row>
    <row r="8" spans="1:9" ht="21.95" customHeight="1">
      <c r="A8" s="2" t="s">
        <v>293</v>
      </c>
      <c r="B8" s="2" t="s">
        <v>294</v>
      </c>
      <c r="C8" s="6">
        <v>24</v>
      </c>
      <c r="D8" s="23">
        <v>16</v>
      </c>
      <c r="E8" s="23">
        <v>8</v>
      </c>
      <c r="F8" s="6" t="s">
        <v>295</v>
      </c>
      <c r="G8" s="6">
        <v>5</v>
      </c>
      <c r="H8" s="2" t="s">
        <v>296</v>
      </c>
      <c r="I8" s="2" t="s">
        <v>297</v>
      </c>
    </row>
    <row r="9" spans="1:9" ht="21.95" customHeight="1">
      <c r="A9" s="2" t="s">
        <v>298</v>
      </c>
      <c r="B9" s="2" t="s">
        <v>299</v>
      </c>
      <c r="C9" s="6">
        <v>14</v>
      </c>
      <c r="D9" s="23">
        <v>6</v>
      </c>
      <c r="E9" s="23">
        <v>8</v>
      </c>
      <c r="F9" s="6" t="s">
        <v>300</v>
      </c>
      <c r="G9" s="6">
        <v>3</v>
      </c>
      <c r="H9" s="2" t="s">
        <v>301</v>
      </c>
      <c r="I9" s="2" t="s">
        <v>302</v>
      </c>
    </row>
    <row r="10" spans="1:9" ht="21.95" customHeight="1">
      <c r="A10" s="2" t="s">
        <v>303</v>
      </c>
      <c r="B10" s="2" t="s">
        <v>304</v>
      </c>
      <c r="C10" s="6">
        <v>3</v>
      </c>
      <c r="D10" s="25">
        <v>3</v>
      </c>
      <c r="E10" s="25">
        <v>0</v>
      </c>
      <c r="F10" s="6" t="s">
        <v>305</v>
      </c>
      <c r="G10" s="6">
        <v>10</v>
      </c>
      <c r="H10" s="2" t="s">
        <v>306</v>
      </c>
      <c r="I10" s="2" t="s">
        <v>288</v>
      </c>
    </row>
    <row r="11" spans="1:9" ht="21.95" customHeight="1">
      <c r="A11" s="2" t="s">
        <v>307</v>
      </c>
      <c r="B11" s="2" t="s">
        <v>308</v>
      </c>
      <c r="C11" s="6">
        <v>5</v>
      </c>
      <c r="D11" s="25">
        <v>5</v>
      </c>
      <c r="E11" s="25">
        <v>0</v>
      </c>
      <c r="F11" s="6" t="s">
        <v>309</v>
      </c>
      <c r="G11" s="6">
        <v>13</v>
      </c>
      <c r="H11" s="2" t="s">
        <v>286</v>
      </c>
      <c r="I11" s="2" t="s">
        <v>310</v>
      </c>
    </row>
    <row r="12" spans="1:9" ht="21.95" customHeight="1">
      <c r="A12" s="2" t="s">
        <v>311</v>
      </c>
      <c r="B12" s="2" t="s">
        <v>312</v>
      </c>
      <c r="C12" s="6">
        <v>13</v>
      </c>
      <c r="D12" s="23">
        <v>0</v>
      </c>
      <c r="E12" s="23">
        <v>13</v>
      </c>
      <c r="F12" s="6" t="s">
        <v>286</v>
      </c>
      <c r="G12" s="6">
        <v>0</v>
      </c>
      <c r="H12" s="2" t="s">
        <v>286</v>
      </c>
      <c r="I12" s="2" t="s">
        <v>313</v>
      </c>
    </row>
    <row r="13" spans="1:9" ht="21.95" customHeight="1">
      <c r="A13" s="2" t="s">
        <v>314</v>
      </c>
      <c r="B13" s="2" t="s">
        <v>315</v>
      </c>
      <c r="C13" s="6">
        <v>8</v>
      </c>
      <c r="D13" s="23">
        <v>0</v>
      </c>
      <c r="E13" s="23">
        <v>8</v>
      </c>
      <c r="F13" s="6" t="s">
        <v>316</v>
      </c>
      <c r="G13" s="6">
        <v>5</v>
      </c>
      <c r="H13" s="2" t="s">
        <v>286</v>
      </c>
      <c r="I13" s="2" t="s">
        <v>317</v>
      </c>
    </row>
    <row r="14" spans="1:9" ht="21.95" customHeight="1">
      <c r="A14" s="2" t="s">
        <v>318</v>
      </c>
      <c r="B14" s="2" t="s">
        <v>319</v>
      </c>
      <c r="C14" s="6">
        <v>13</v>
      </c>
      <c r="D14" s="23">
        <v>0</v>
      </c>
      <c r="E14" s="23">
        <v>13</v>
      </c>
      <c r="F14" s="6" t="s">
        <v>320</v>
      </c>
      <c r="G14" s="6">
        <v>16</v>
      </c>
      <c r="H14" s="2" t="s">
        <v>321</v>
      </c>
      <c r="I14" s="2" t="s">
        <v>313</v>
      </c>
    </row>
    <row r="15" spans="1:9" ht="21.95" customHeight="1">
      <c r="A15" s="4" t="s">
        <v>322</v>
      </c>
      <c r="B15" s="4"/>
      <c r="C15" s="33">
        <f>SUM(C6:C14)</f>
        <v>91</v>
      </c>
      <c r="D15" s="33">
        <f>SUM(D6:D14)</f>
        <v>41</v>
      </c>
      <c r="E15" s="33">
        <f>SUM(E6:E14)</f>
        <v>50</v>
      </c>
      <c r="F15" s="33"/>
      <c r="G15" s="33">
        <f>SUM(G6:G14)</f>
        <v>57</v>
      </c>
      <c r="H15" s="4"/>
      <c r="I15" s="4"/>
    </row>
    <row r="16" spans="1:9" ht="21.95" customHeight="1"/>
    <row r="17" ht="21.95" customHeight="1"/>
    <row r="18" ht="21.95" customHeight="1"/>
    <row r="19" ht="21.95" customHeight="1"/>
    <row r="20" ht="21.95" customHeight="1"/>
    <row r="21" ht="21.95" customHeight="1"/>
    <row r="22" ht="21.95" customHeight="1"/>
    <row r="23" ht="21.95" customHeight="1"/>
    <row r="24" ht="21.95" customHeight="1"/>
    <row r="25" ht="21.95" customHeight="1"/>
    <row r="26" ht="21.95" customHeight="1"/>
    <row r="27" ht="21.95" customHeight="1"/>
    <row r="28" ht="21.95" customHeight="1"/>
    <row r="29" ht="21.95" customHeight="1"/>
    <row r="30" ht="21.95" customHeight="1"/>
    <row r="31" ht="21.95" customHeight="1"/>
    <row r="32" ht="21.95" customHeight="1"/>
    <row r="33" ht="21.95" customHeight="1"/>
    <row r="34" ht="21.95" customHeight="1"/>
    <row r="35" ht="21.95" customHeight="1"/>
    <row r="36" ht="21.95" customHeight="1"/>
    <row r="37" ht="21.95" customHeight="1"/>
    <row r="38" ht="21.95" customHeight="1"/>
    <row r="39" ht="21.95" customHeight="1"/>
    <row r="40" ht="21.95" customHeight="1"/>
    <row r="41" ht="21.95" customHeight="1"/>
    <row r="42" ht="21.95" customHeight="1"/>
    <row r="43" ht="21.95" customHeight="1"/>
    <row r="44" ht="21.95" customHeight="1"/>
    <row r="45" ht="21.95" customHeight="1"/>
    <row r="46" ht="21.95" customHeight="1"/>
    <row r="47" ht="21.95" customHeight="1"/>
    <row r="48" ht="21.95" customHeight="1"/>
    <row r="49" ht="21.95" customHeight="1"/>
    <row r="50" ht="21.95" customHeight="1"/>
    <row r="51" ht="21.95" customHeight="1"/>
    <row r="52" ht="21.95" customHeight="1"/>
    <row r="53" ht="21.95" customHeight="1"/>
    <row r="54" ht="21.95" customHeight="1"/>
    <row r="55" ht="21.95" customHeight="1"/>
    <row r="56" ht="21.95" customHeight="1"/>
    <row r="57" ht="21.95" customHeight="1"/>
    <row r="58" ht="21.95" customHeight="1"/>
    <row r="59" ht="21.95" customHeight="1"/>
    <row r="60" ht="21.95" customHeight="1"/>
    <row r="61" ht="21.95" customHeight="1"/>
    <row r="62" ht="21.95" customHeight="1"/>
    <row r="63" ht="21.95" customHeight="1"/>
    <row r="64" ht="21.95" customHeight="1"/>
    <row r="65" ht="21.95" customHeight="1"/>
    <row r="66" ht="21.95" customHeight="1"/>
    <row r="67" ht="21.95" customHeight="1"/>
    <row r="68" ht="21.95" customHeight="1"/>
    <row r="69" ht="21.95" customHeight="1"/>
    <row r="70" ht="21.95" customHeight="1"/>
    <row r="71" ht="21.95" customHeight="1"/>
    <row r="72" ht="21.95" customHeight="1"/>
    <row r="73" ht="21.95" customHeight="1"/>
    <row r="74" ht="21.95" customHeight="1"/>
    <row r="75" ht="21.95" customHeight="1"/>
    <row r="76" ht="21.95" customHeight="1"/>
    <row r="77" ht="21.95" customHeight="1"/>
    <row r="78" ht="21.95" customHeight="1"/>
    <row r="79" ht="21.95" customHeight="1"/>
    <row r="80" ht="21.95" customHeight="1"/>
  </sheetData>
  <mergeCells count="2">
    <mergeCell ref="A1:I2"/>
    <mergeCell ref="A3:I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80"/>
  <sheetViews>
    <sheetView workbookViewId="0">
      <selection sqref="A1:E2"/>
    </sheetView>
  </sheetViews>
  <sheetFormatPr baseColWidth="10" defaultColWidth="9" defaultRowHeight="14.25"/>
  <cols>
    <col min="1" max="1" width="20" customWidth="1"/>
    <col min="2" max="2" width="46" customWidth="1"/>
    <col min="3" max="3" width="42" customWidth="1"/>
    <col min="4" max="4" width="30" customWidth="1"/>
    <col min="5" max="5" width="13" customWidth="1"/>
  </cols>
  <sheetData>
    <row r="1" spans="1:5" ht="21.95" customHeight="1">
      <c r="A1" s="41" t="s">
        <v>323</v>
      </c>
      <c r="B1" s="42"/>
      <c r="C1" s="42"/>
      <c r="D1" s="42"/>
      <c r="E1" s="42"/>
    </row>
    <row r="2" spans="1:5" ht="21.95" customHeight="1">
      <c r="A2" s="42"/>
      <c r="B2" s="42"/>
      <c r="C2" s="42"/>
      <c r="D2" s="42"/>
      <c r="E2" s="42"/>
    </row>
    <row r="3" spans="1:5" ht="21.95" customHeight="1">
      <c r="A3" s="43" t="s">
        <v>324</v>
      </c>
      <c r="B3" s="42"/>
      <c r="C3" s="42"/>
      <c r="D3" s="42"/>
      <c r="E3" s="42"/>
    </row>
    <row r="4" spans="1:5" ht="21.95" customHeight="1"/>
    <row r="5" spans="1:5" ht="21.95" customHeight="1">
      <c r="A5" s="5" t="s">
        <v>325</v>
      </c>
      <c r="B5" s="5" t="s">
        <v>326</v>
      </c>
      <c r="C5" s="5" t="s">
        <v>327</v>
      </c>
      <c r="D5" s="5" t="s">
        <v>229</v>
      </c>
      <c r="E5" s="5" t="s">
        <v>17</v>
      </c>
    </row>
    <row r="6" spans="1:5" ht="21.95" customHeight="1">
      <c r="A6" s="2" t="s">
        <v>13</v>
      </c>
      <c r="B6" s="2" t="s">
        <v>328</v>
      </c>
      <c r="C6" s="2" t="s">
        <v>329</v>
      </c>
      <c r="D6" s="2" t="s">
        <v>330</v>
      </c>
      <c r="E6" s="31" t="s">
        <v>331</v>
      </c>
    </row>
    <row r="7" spans="1:5" ht="21.95" customHeight="1">
      <c r="A7" s="2" t="s">
        <v>33</v>
      </c>
      <c r="B7" s="2" t="s">
        <v>332</v>
      </c>
      <c r="C7" s="2" t="s">
        <v>333</v>
      </c>
      <c r="D7" s="2" t="s">
        <v>334</v>
      </c>
      <c r="E7" s="31" t="s">
        <v>331</v>
      </c>
    </row>
    <row r="8" spans="1:5" ht="21.95" customHeight="1">
      <c r="A8" s="2" t="s">
        <v>335</v>
      </c>
      <c r="B8" s="2" t="s">
        <v>336</v>
      </c>
      <c r="C8" s="2" t="s">
        <v>337</v>
      </c>
      <c r="D8" s="2" t="s">
        <v>338</v>
      </c>
      <c r="E8" s="31" t="s">
        <v>331</v>
      </c>
    </row>
    <row r="9" spans="1:5" ht="21.95" customHeight="1">
      <c r="A9" s="2" t="s">
        <v>339</v>
      </c>
      <c r="B9" s="2" t="s">
        <v>340</v>
      </c>
      <c r="C9" s="2" t="s">
        <v>341</v>
      </c>
      <c r="D9" s="2" t="s">
        <v>342</v>
      </c>
      <c r="E9" s="31" t="s">
        <v>331</v>
      </c>
    </row>
    <row r="10" spans="1:5" ht="21.95" customHeight="1">
      <c r="A10" s="2" t="s">
        <v>343</v>
      </c>
      <c r="B10" s="2" t="s">
        <v>344</v>
      </c>
      <c r="C10" s="2" t="s">
        <v>345</v>
      </c>
      <c r="D10" s="2" t="s">
        <v>346</v>
      </c>
      <c r="E10" s="31" t="s">
        <v>331</v>
      </c>
    </row>
    <row r="11" spans="1:5" ht="21.95" customHeight="1">
      <c r="A11" s="2" t="s">
        <v>347</v>
      </c>
      <c r="B11" s="2" t="s">
        <v>348</v>
      </c>
      <c r="C11" s="2" t="s">
        <v>349</v>
      </c>
      <c r="D11" s="2" t="s">
        <v>350</v>
      </c>
      <c r="E11" s="31" t="s">
        <v>331</v>
      </c>
    </row>
    <row r="12" spans="1:5" ht="21.95" customHeight="1">
      <c r="A12" s="2" t="s">
        <v>351</v>
      </c>
      <c r="B12" s="2" t="s">
        <v>352</v>
      </c>
      <c r="C12" s="2" t="s">
        <v>353</v>
      </c>
      <c r="D12" s="2" t="s">
        <v>354</v>
      </c>
      <c r="E12" s="31" t="s">
        <v>331</v>
      </c>
    </row>
    <row r="13" spans="1:5" ht="21.95" customHeight="1">
      <c r="A13" s="2" t="s">
        <v>182</v>
      </c>
      <c r="B13" s="2" t="s">
        <v>355</v>
      </c>
      <c r="C13" s="2" t="s">
        <v>356</v>
      </c>
      <c r="D13" s="2" t="s">
        <v>357</v>
      </c>
      <c r="E13" s="31" t="s">
        <v>331</v>
      </c>
    </row>
    <row r="14" spans="1:5" ht="21.95" customHeight="1">
      <c r="A14" s="2" t="s">
        <v>358</v>
      </c>
      <c r="B14" s="2" t="s">
        <v>359</v>
      </c>
      <c r="C14" s="2" t="s">
        <v>360</v>
      </c>
      <c r="D14" s="2" t="s">
        <v>361</v>
      </c>
      <c r="E14" s="31" t="s">
        <v>331</v>
      </c>
    </row>
    <row r="15" spans="1:5" ht="21.95" customHeight="1">
      <c r="A15" s="2" t="s">
        <v>61</v>
      </c>
      <c r="B15" s="2" t="s">
        <v>362</v>
      </c>
      <c r="C15" s="2" t="s">
        <v>363</v>
      </c>
      <c r="D15" s="2" t="s">
        <v>364</v>
      </c>
      <c r="E15" s="31" t="s">
        <v>331</v>
      </c>
    </row>
    <row r="16" spans="1:5" ht="21.95" customHeight="1">
      <c r="A16" s="2" t="s">
        <v>36</v>
      </c>
      <c r="B16" s="2" t="s">
        <v>365</v>
      </c>
      <c r="C16" s="2" t="s">
        <v>366</v>
      </c>
      <c r="D16" s="2" t="s">
        <v>367</v>
      </c>
      <c r="E16" s="31" t="s">
        <v>331</v>
      </c>
    </row>
    <row r="17" spans="1:5" ht="21.95" customHeight="1">
      <c r="A17" s="2" t="s">
        <v>368</v>
      </c>
      <c r="B17" s="2" t="s">
        <v>369</v>
      </c>
      <c r="C17" s="2" t="s">
        <v>370</v>
      </c>
      <c r="D17" s="2" t="s">
        <v>371</v>
      </c>
      <c r="E17" s="31" t="s">
        <v>331</v>
      </c>
    </row>
    <row r="18" spans="1:5" ht="21.95" customHeight="1">
      <c r="A18" s="2" t="s">
        <v>44</v>
      </c>
      <c r="B18" s="2" t="s">
        <v>372</v>
      </c>
      <c r="C18" s="2" t="s">
        <v>373</v>
      </c>
      <c r="D18" s="2" t="s">
        <v>374</v>
      </c>
      <c r="E18" s="31" t="s">
        <v>331</v>
      </c>
    </row>
    <row r="19" spans="1:5" ht="21.95" customHeight="1"/>
    <row r="20" spans="1:5" ht="21.95" customHeight="1"/>
    <row r="21" spans="1:5" ht="21.95" customHeight="1"/>
    <row r="22" spans="1:5" ht="21.95" customHeight="1"/>
    <row r="23" spans="1:5" ht="21.95" customHeight="1"/>
    <row r="24" spans="1:5" ht="21.95" customHeight="1"/>
    <row r="25" spans="1:5" ht="21.95" customHeight="1"/>
    <row r="26" spans="1:5" ht="21.95" customHeight="1"/>
    <row r="27" spans="1:5" ht="21.95" customHeight="1"/>
    <row r="28" spans="1:5" ht="21.95" customHeight="1"/>
    <row r="29" spans="1:5" ht="21.95" customHeight="1"/>
    <row r="30" spans="1:5" ht="21.95" customHeight="1"/>
    <row r="31" spans="1:5" ht="21.95" customHeight="1"/>
    <row r="32" spans="1:5" ht="21.95" customHeight="1"/>
    <row r="33" ht="21.95" customHeight="1"/>
    <row r="34" ht="21.95" customHeight="1"/>
    <row r="35" ht="21.95" customHeight="1"/>
    <row r="36" ht="21.95" customHeight="1"/>
    <row r="37" ht="21.95" customHeight="1"/>
    <row r="38" ht="21.95" customHeight="1"/>
    <row r="39" ht="21.95" customHeight="1"/>
    <row r="40" ht="21.95" customHeight="1"/>
    <row r="41" ht="21.95" customHeight="1"/>
    <row r="42" ht="21.95" customHeight="1"/>
    <row r="43" ht="21.95" customHeight="1"/>
    <row r="44" ht="21.95" customHeight="1"/>
    <row r="45" ht="21.95" customHeight="1"/>
    <row r="46" ht="21.95" customHeight="1"/>
    <row r="47" ht="21.95" customHeight="1"/>
    <row r="48" ht="21.95" customHeight="1"/>
    <row r="49" ht="21.95" customHeight="1"/>
    <row r="50" ht="21.95" customHeight="1"/>
    <row r="51" ht="21.95" customHeight="1"/>
    <row r="52" ht="21.95" customHeight="1"/>
    <row r="53" ht="21.95" customHeight="1"/>
    <row r="54" ht="21.95" customHeight="1"/>
    <row r="55" ht="21.95" customHeight="1"/>
    <row r="56" ht="21.95" customHeight="1"/>
    <row r="57" ht="21.95" customHeight="1"/>
    <row r="58" ht="21.95" customHeight="1"/>
    <row r="59" ht="21.95" customHeight="1"/>
    <row r="60" ht="21.95" customHeight="1"/>
    <row r="61" ht="21.95" customHeight="1"/>
    <row r="62" ht="21.95" customHeight="1"/>
    <row r="63" ht="21.95" customHeight="1"/>
    <row r="64" ht="21.95" customHeight="1"/>
    <row r="65" ht="21.95" customHeight="1"/>
    <row r="66" ht="21.95" customHeight="1"/>
    <row r="67" ht="21.95" customHeight="1"/>
    <row r="68" ht="21.95" customHeight="1"/>
    <row r="69" ht="21.95" customHeight="1"/>
    <row r="70" ht="21.95" customHeight="1"/>
    <row r="71" ht="21.95" customHeight="1"/>
    <row r="72" ht="21.95" customHeight="1"/>
    <row r="73" ht="21.95" customHeight="1"/>
    <row r="74" ht="21.95" customHeight="1"/>
    <row r="75" ht="21.95" customHeight="1"/>
    <row r="76" ht="21.95" customHeight="1"/>
    <row r="77" ht="21.95" customHeight="1"/>
    <row r="78" ht="21.95" customHeight="1"/>
    <row r="79" ht="21.95" customHeight="1"/>
    <row r="80" ht="21.95" customHeight="1"/>
  </sheetData>
  <mergeCells count="2">
    <mergeCell ref="A1:E2"/>
    <mergeCell ref="A3:E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80"/>
  <sheetViews>
    <sheetView workbookViewId="0">
      <selection sqref="A1:H2"/>
    </sheetView>
  </sheetViews>
  <sheetFormatPr baseColWidth="10" defaultColWidth="9" defaultRowHeight="14.25"/>
  <cols>
    <col min="1" max="1" width="22" customWidth="1"/>
    <col min="2" max="2" width="43" customWidth="1"/>
    <col min="3" max="3" width="16" customWidth="1"/>
    <col min="4" max="4" width="8" customWidth="1"/>
    <col min="5" max="5" width="14" customWidth="1"/>
    <col min="6" max="6" width="13" customWidth="1"/>
    <col min="7" max="7" width="28" customWidth="1"/>
    <col min="8" max="8" width="32" customWidth="1"/>
  </cols>
  <sheetData>
    <row r="1" spans="1:8" ht="21.95" customHeight="1">
      <c r="A1" s="41" t="s">
        <v>375</v>
      </c>
      <c r="B1" s="42"/>
      <c r="C1" s="42"/>
      <c r="D1" s="42"/>
      <c r="E1" s="42"/>
      <c r="F1" s="42"/>
      <c r="G1" s="42"/>
      <c r="H1" s="42"/>
    </row>
    <row r="2" spans="1:8" ht="21.95" customHeight="1">
      <c r="A2" s="42"/>
      <c r="B2" s="42"/>
      <c r="C2" s="42"/>
      <c r="D2" s="42"/>
      <c r="E2" s="42"/>
      <c r="F2" s="42"/>
      <c r="G2" s="42"/>
      <c r="H2" s="42"/>
    </row>
    <row r="3" spans="1:8" ht="21.95" customHeight="1">
      <c r="A3" s="43" t="s">
        <v>376</v>
      </c>
      <c r="B3" s="42"/>
      <c r="C3" s="42"/>
      <c r="D3" s="42"/>
      <c r="E3" s="42"/>
      <c r="F3" s="42"/>
      <c r="G3" s="42"/>
      <c r="H3" s="42"/>
    </row>
    <row r="4" spans="1:8" ht="21.95" customHeight="1"/>
    <row r="5" spans="1:8" ht="21.95" customHeight="1">
      <c r="A5" s="5" t="s">
        <v>377</v>
      </c>
      <c r="B5" s="5" t="s">
        <v>378</v>
      </c>
      <c r="C5" s="5" t="s">
        <v>379</v>
      </c>
      <c r="D5" s="5" t="s">
        <v>37</v>
      </c>
      <c r="E5" s="5" t="s">
        <v>380</v>
      </c>
      <c r="F5" s="5" t="s">
        <v>381</v>
      </c>
      <c r="G5" s="5" t="s">
        <v>382</v>
      </c>
      <c r="H5" s="5" t="s">
        <v>383</v>
      </c>
    </row>
    <row r="6" spans="1:8" ht="33.950000000000003" customHeight="1">
      <c r="A6" s="2" t="s">
        <v>384</v>
      </c>
      <c r="B6" s="2" t="s">
        <v>385</v>
      </c>
      <c r="C6" s="12" t="s">
        <v>129</v>
      </c>
      <c r="D6" s="6">
        <v>3</v>
      </c>
      <c r="E6" s="2" t="s">
        <v>386</v>
      </c>
      <c r="F6" s="12" t="s">
        <v>198</v>
      </c>
      <c r="G6" s="12" t="s">
        <v>387</v>
      </c>
      <c r="H6" s="2" t="s">
        <v>388</v>
      </c>
    </row>
    <row r="7" spans="1:8" ht="33.950000000000003" customHeight="1">
      <c r="A7" s="2" t="s">
        <v>290</v>
      </c>
      <c r="B7" s="2" t="s">
        <v>389</v>
      </c>
      <c r="C7" s="12" t="s">
        <v>129</v>
      </c>
      <c r="D7" s="6">
        <v>5</v>
      </c>
      <c r="E7" s="2" t="s">
        <v>386</v>
      </c>
      <c r="F7" s="12" t="s">
        <v>198</v>
      </c>
      <c r="G7" s="12" t="s">
        <v>387</v>
      </c>
      <c r="H7" s="2" t="s">
        <v>388</v>
      </c>
    </row>
    <row r="8" spans="1:8" ht="33.950000000000003" customHeight="1">
      <c r="A8" s="2" t="s">
        <v>390</v>
      </c>
      <c r="B8" s="2" t="s">
        <v>391</v>
      </c>
      <c r="C8" s="12" t="s">
        <v>129</v>
      </c>
      <c r="D8" s="6">
        <v>8</v>
      </c>
      <c r="E8" s="2" t="s">
        <v>386</v>
      </c>
      <c r="F8" s="12" t="s">
        <v>198</v>
      </c>
      <c r="G8" s="12" t="s">
        <v>387</v>
      </c>
      <c r="H8" s="2" t="s">
        <v>388</v>
      </c>
    </row>
    <row r="9" spans="1:8" ht="33.950000000000003" customHeight="1">
      <c r="A9" s="2" t="s">
        <v>392</v>
      </c>
      <c r="B9" s="2" t="s">
        <v>393</v>
      </c>
      <c r="C9" s="12" t="s">
        <v>129</v>
      </c>
      <c r="D9" s="6">
        <v>3</v>
      </c>
      <c r="E9" s="2" t="s">
        <v>386</v>
      </c>
      <c r="F9" s="12" t="s">
        <v>198</v>
      </c>
      <c r="G9" s="12" t="s">
        <v>387</v>
      </c>
      <c r="H9" s="2" t="s">
        <v>388</v>
      </c>
    </row>
    <row r="10" spans="1:8" ht="33.950000000000003" customHeight="1">
      <c r="A10" s="2" t="s">
        <v>394</v>
      </c>
      <c r="B10" s="2" t="s">
        <v>395</v>
      </c>
      <c r="C10" s="12" t="s">
        <v>129</v>
      </c>
      <c r="D10" s="6">
        <v>3</v>
      </c>
      <c r="E10" s="2" t="s">
        <v>386</v>
      </c>
      <c r="F10" s="12" t="s">
        <v>198</v>
      </c>
      <c r="G10" s="12" t="s">
        <v>387</v>
      </c>
      <c r="H10" s="2" t="s">
        <v>388</v>
      </c>
    </row>
    <row r="11" spans="1:8" ht="33.950000000000003" customHeight="1">
      <c r="A11" s="2" t="s">
        <v>304</v>
      </c>
      <c r="B11" s="2" t="s">
        <v>396</v>
      </c>
      <c r="C11" s="12" t="s">
        <v>129</v>
      </c>
      <c r="D11" s="6">
        <v>3</v>
      </c>
      <c r="E11" s="2" t="s">
        <v>386</v>
      </c>
      <c r="F11" s="12" t="s">
        <v>198</v>
      </c>
      <c r="G11" s="12" t="s">
        <v>387</v>
      </c>
      <c r="H11" s="2" t="s">
        <v>388</v>
      </c>
    </row>
    <row r="12" spans="1:8" ht="33.950000000000003" customHeight="1">
      <c r="A12" s="2" t="s">
        <v>397</v>
      </c>
      <c r="B12" s="2" t="s">
        <v>398</v>
      </c>
      <c r="C12" s="12" t="s">
        <v>129</v>
      </c>
      <c r="D12" s="6">
        <v>3</v>
      </c>
      <c r="E12" s="2" t="s">
        <v>386</v>
      </c>
      <c r="F12" s="12" t="s">
        <v>198</v>
      </c>
      <c r="G12" s="12" t="s">
        <v>387</v>
      </c>
      <c r="H12" s="2" t="s">
        <v>399</v>
      </c>
    </row>
    <row r="13" spans="1:8" ht="33.950000000000003" customHeight="1">
      <c r="A13" s="2" t="s">
        <v>291</v>
      </c>
      <c r="B13" s="2" t="s">
        <v>400</v>
      </c>
      <c r="C13" s="11" t="s">
        <v>58</v>
      </c>
      <c r="D13" s="6">
        <v>5</v>
      </c>
      <c r="E13" s="2" t="s">
        <v>401</v>
      </c>
      <c r="F13" s="10" t="s">
        <v>402</v>
      </c>
      <c r="G13" s="10" t="s">
        <v>403</v>
      </c>
      <c r="H13" s="2"/>
    </row>
    <row r="14" spans="1:8" ht="33.950000000000003" customHeight="1">
      <c r="A14" s="2" t="s">
        <v>295</v>
      </c>
      <c r="B14" s="2" t="s">
        <v>404</v>
      </c>
      <c r="C14" s="11" t="s">
        <v>58</v>
      </c>
      <c r="D14" s="6">
        <v>5</v>
      </c>
      <c r="E14" s="2" t="s">
        <v>401</v>
      </c>
      <c r="F14" s="10" t="s">
        <v>402</v>
      </c>
      <c r="G14" s="10" t="s">
        <v>403</v>
      </c>
      <c r="H14" s="2"/>
    </row>
    <row r="15" spans="1:8" ht="33.950000000000003" customHeight="1">
      <c r="A15" s="2" t="s">
        <v>300</v>
      </c>
      <c r="B15" s="2" t="s">
        <v>405</v>
      </c>
      <c r="C15" s="11" t="s">
        <v>58</v>
      </c>
      <c r="D15" s="6">
        <v>3</v>
      </c>
      <c r="E15" s="2" t="s">
        <v>401</v>
      </c>
      <c r="F15" s="10" t="s">
        <v>402</v>
      </c>
      <c r="G15" s="10" t="s">
        <v>403</v>
      </c>
      <c r="H15" s="2"/>
    </row>
    <row r="16" spans="1:8" ht="33.950000000000003" customHeight="1">
      <c r="A16" s="2" t="s">
        <v>406</v>
      </c>
      <c r="B16" s="2" t="s">
        <v>407</v>
      </c>
      <c r="C16" s="11" t="s">
        <v>58</v>
      </c>
      <c r="D16" s="6">
        <v>5</v>
      </c>
      <c r="E16" s="2" t="s">
        <v>401</v>
      </c>
      <c r="F16" s="10" t="s">
        <v>402</v>
      </c>
      <c r="G16" s="10" t="s">
        <v>403</v>
      </c>
      <c r="H16" s="2"/>
    </row>
    <row r="17" spans="1:8" ht="33.950000000000003" customHeight="1">
      <c r="A17" s="2" t="s">
        <v>408</v>
      </c>
      <c r="B17" s="2" t="s">
        <v>409</v>
      </c>
      <c r="C17" s="11" t="s">
        <v>58</v>
      </c>
      <c r="D17" s="6">
        <v>5</v>
      </c>
      <c r="E17" s="2" t="s">
        <v>401</v>
      </c>
      <c r="F17" s="10" t="s">
        <v>402</v>
      </c>
      <c r="G17" s="10" t="s">
        <v>403</v>
      </c>
      <c r="H17" s="2" t="s">
        <v>410</v>
      </c>
    </row>
    <row r="18" spans="1:8" ht="33.950000000000003" customHeight="1">
      <c r="A18" s="2" t="s">
        <v>411</v>
      </c>
      <c r="B18" s="2" t="s">
        <v>412</v>
      </c>
      <c r="C18" s="10" t="s">
        <v>62</v>
      </c>
      <c r="D18" s="6">
        <v>5</v>
      </c>
      <c r="E18" s="2" t="s">
        <v>413</v>
      </c>
      <c r="F18" s="10" t="s">
        <v>402</v>
      </c>
      <c r="G18" s="10" t="s">
        <v>414</v>
      </c>
      <c r="H18" s="2"/>
    </row>
    <row r="19" spans="1:8" ht="33.950000000000003" customHeight="1">
      <c r="A19" s="2" t="s">
        <v>415</v>
      </c>
      <c r="B19" s="2" t="s">
        <v>416</v>
      </c>
      <c r="C19" s="10" t="s">
        <v>62</v>
      </c>
      <c r="D19" s="6">
        <v>8</v>
      </c>
      <c r="E19" s="2" t="s">
        <v>413</v>
      </c>
      <c r="F19" s="10" t="s">
        <v>402</v>
      </c>
      <c r="G19" s="10" t="s">
        <v>414</v>
      </c>
      <c r="H19" s="2"/>
    </row>
    <row r="20" spans="1:8" ht="33.950000000000003" customHeight="1">
      <c r="A20" s="2" t="s">
        <v>417</v>
      </c>
      <c r="B20" s="2" t="s">
        <v>418</v>
      </c>
      <c r="C20" s="10" t="s">
        <v>62</v>
      </c>
      <c r="D20" s="6">
        <v>13</v>
      </c>
      <c r="E20" s="2" t="s">
        <v>413</v>
      </c>
      <c r="F20" s="10" t="s">
        <v>402</v>
      </c>
      <c r="G20" s="10" t="s">
        <v>414</v>
      </c>
      <c r="H20" s="2"/>
    </row>
    <row r="21" spans="1:8" ht="33.950000000000003" customHeight="1">
      <c r="A21" s="2" t="s">
        <v>419</v>
      </c>
      <c r="B21" s="2" t="s">
        <v>420</v>
      </c>
      <c r="C21" s="10" t="s">
        <v>62</v>
      </c>
      <c r="D21" s="6">
        <v>8</v>
      </c>
      <c r="E21" s="2" t="s">
        <v>413</v>
      </c>
      <c r="F21" s="10" t="s">
        <v>402</v>
      </c>
      <c r="G21" s="10" t="s">
        <v>414</v>
      </c>
      <c r="H21" s="2"/>
    </row>
    <row r="22" spans="1:8" ht="33.950000000000003" customHeight="1">
      <c r="A22" s="2" t="s">
        <v>308</v>
      </c>
      <c r="B22" s="2" t="s">
        <v>421</v>
      </c>
      <c r="C22" s="12" t="s">
        <v>129</v>
      </c>
      <c r="D22" s="6">
        <v>5</v>
      </c>
      <c r="E22" s="2" t="s">
        <v>386</v>
      </c>
      <c r="F22" s="12" t="s">
        <v>198</v>
      </c>
      <c r="G22" s="12" t="s">
        <v>387</v>
      </c>
      <c r="H22" s="2" t="s">
        <v>399</v>
      </c>
    </row>
    <row r="23" spans="1:8" ht="33.950000000000003" customHeight="1">
      <c r="A23" s="2" t="s">
        <v>422</v>
      </c>
      <c r="B23" s="2" t="s">
        <v>423</v>
      </c>
      <c r="C23" s="27" t="s">
        <v>424</v>
      </c>
      <c r="D23" s="6">
        <v>13</v>
      </c>
      <c r="E23" s="2" t="s">
        <v>424</v>
      </c>
      <c r="F23" s="27" t="s">
        <v>425</v>
      </c>
      <c r="G23" s="27" t="s">
        <v>426</v>
      </c>
      <c r="H23" s="2"/>
    </row>
    <row r="24" spans="1:8" ht="33.950000000000003" customHeight="1">
      <c r="A24" s="2" t="s">
        <v>427</v>
      </c>
      <c r="B24" s="2" t="s">
        <v>428</v>
      </c>
      <c r="C24" s="27" t="s">
        <v>424</v>
      </c>
      <c r="D24" s="6">
        <v>21</v>
      </c>
      <c r="E24" s="2" t="s">
        <v>424</v>
      </c>
      <c r="F24" s="27" t="s">
        <v>425</v>
      </c>
      <c r="G24" s="27" t="s">
        <v>426</v>
      </c>
      <c r="H24" s="2"/>
    </row>
    <row r="25" spans="1:8" ht="33.950000000000003" customHeight="1">
      <c r="A25" s="2" t="s">
        <v>429</v>
      </c>
      <c r="B25" s="2" t="s">
        <v>430</v>
      </c>
      <c r="C25" s="27" t="s">
        <v>424</v>
      </c>
      <c r="D25" s="6">
        <v>13</v>
      </c>
      <c r="E25" s="2" t="s">
        <v>424</v>
      </c>
      <c r="F25" s="27" t="s">
        <v>425</v>
      </c>
      <c r="G25" s="27" t="s">
        <v>426</v>
      </c>
      <c r="H25" s="2"/>
    </row>
    <row r="26" spans="1:8" ht="33.950000000000003" customHeight="1">
      <c r="A26" s="2" t="s">
        <v>431</v>
      </c>
      <c r="B26" s="2" t="s">
        <v>432</v>
      </c>
      <c r="C26" s="12" t="s">
        <v>129</v>
      </c>
      <c r="D26" s="6">
        <v>8</v>
      </c>
      <c r="E26" s="2" t="s">
        <v>386</v>
      </c>
      <c r="F26" s="10" t="s">
        <v>402</v>
      </c>
      <c r="G26" s="10" t="s">
        <v>53</v>
      </c>
      <c r="H26" s="2" t="s">
        <v>433</v>
      </c>
    </row>
    <row r="27" spans="1:8" ht="33.950000000000003" customHeight="1">
      <c r="A27" s="2" t="s">
        <v>434</v>
      </c>
      <c r="B27" s="2" t="s">
        <v>435</v>
      </c>
      <c r="C27" s="11" t="s">
        <v>58</v>
      </c>
      <c r="D27" s="6">
        <v>5</v>
      </c>
      <c r="E27" s="2" t="s">
        <v>401</v>
      </c>
      <c r="F27" s="10" t="s">
        <v>402</v>
      </c>
      <c r="G27" s="10" t="s">
        <v>403</v>
      </c>
      <c r="H27" s="2"/>
    </row>
    <row r="28" spans="1:8" ht="33.950000000000003" customHeight="1">
      <c r="A28" s="2" t="s">
        <v>436</v>
      </c>
      <c r="B28" s="2" t="s">
        <v>437</v>
      </c>
      <c r="C28" s="12" t="s">
        <v>129</v>
      </c>
      <c r="D28" s="6">
        <v>8</v>
      </c>
      <c r="E28" s="2" t="s">
        <v>386</v>
      </c>
      <c r="F28" s="10" t="s">
        <v>402</v>
      </c>
      <c r="G28" s="10" t="s">
        <v>53</v>
      </c>
      <c r="H28" s="2" t="s">
        <v>433</v>
      </c>
    </row>
    <row r="29" spans="1:8" ht="33.950000000000003" customHeight="1">
      <c r="A29" s="2" t="s">
        <v>438</v>
      </c>
      <c r="B29" s="2" t="s">
        <v>439</v>
      </c>
      <c r="C29" s="12" t="s">
        <v>129</v>
      </c>
      <c r="D29" s="6">
        <v>5</v>
      </c>
      <c r="E29" s="2" t="s">
        <v>386</v>
      </c>
      <c r="F29" s="12" t="s">
        <v>198</v>
      </c>
      <c r="G29" s="12" t="s">
        <v>387</v>
      </c>
      <c r="H29" s="2" t="s">
        <v>440</v>
      </c>
    </row>
    <row r="30" spans="1:8" ht="33.950000000000003" customHeight="1">
      <c r="A30" s="2" t="s">
        <v>441</v>
      </c>
      <c r="B30" s="2" t="s">
        <v>442</v>
      </c>
      <c r="C30" s="12" t="s">
        <v>129</v>
      </c>
      <c r="D30" s="6">
        <v>3</v>
      </c>
      <c r="E30" s="2" t="s">
        <v>386</v>
      </c>
      <c r="F30" s="12" t="s">
        <v>198</v>
      </c>
      <c r="G30" s="12" t="s">
        <v>387</v>
      </c>
      <c r="H30" s="2" t="s">
        <v>440</v>
      </c>
    </row>
    <row r="31" spans="1:8" ht="33.950000000000003" customHeight="1">
      <c r="A31" s="2" t="s">
        <v>443</v>
      </c>
      <c r="B31" s="2" t="s">
        <v>444</v>
      </c>
      <c r="C31" s="11" t="s">
        <v>58</v>
      </c>
      <c r="D31" s="6">
        <v>5</v>
      </c>
      <c r="E31" s="2" t="s">
        <v>401</v>
      </c>
      <c r="F31" s="10" t="s">
        <v>402</v>
      </c>
      <c r="G31" s="10" t="s">
        <v>403</v>
      </c>
      <c r="H31" s="2" t="s">
        <v>410</v>
      </c>
    </row>
    <row r="32" spans="1:8" ht="33.950000000000003" customHeight="1">
      <c r="A32" s="2" t="s">
        <v>445</v>
      </c>
      <c r="B32" s="2" t="s">
        <v>446</v>
      </c>
      <c r="C32" s="11" t="s">
        <v>58</v>
      </c>
      <c r="D32" s="6">
        <v>3</v>
      </c>
      <c r="E32" s="2" t="s">
        <v>401</v>
      </c>
      <c r="F32" s="10" t="s">
        <v>402</v>
      </c>
      <c r="G32" s="10" t="s">
        <v>403</v>
      </c>
      <c r="H32" s="2" t="s">
        <v>410</v>
      </c>
    </row>
    <row r="33" spans="1:8" ht="33.950000000000003" customHeight="1">
      <c r="A33" s="2" t="s">
        <v>447</v>
      </c>
      <c r="B33" s="2" t="s">
        <v>448</v>
      </c>
      <c r="C33" s="12" t="s">
        <v>129</v>
      </c>
      <c r="D33" s="6">
        <v>5</v>
      </c>
      <c r="E33" s="2" t="s">
        <v>386</v>
      </c>
      <c r="F33" s="10" t="s">
        <v>402</v>
      </c>
      <c r="G33" s="10" t="s">
        <v>53</v>
      </c>
      <c r="H33" s="2" t="s">
        <v>449</v>
      </c>
    </row>
    <row r="34" spans="1:8" ht="33.950000000000003" customHeight="1">
      <c r="A34" s="2" t="s">
        <v>450</v>
      </c>
      <c r="B34" s="2" t="s">
        <v>451</v>
      </c>
      <c r="C34" s="12" t="s">
        <v>129</v>
      </c>
      <c r="D34" s="6">
        <v>8</v>
      </c>
      <c r="E34" s="2" t="s">
        <v>386</v>
      </c>
      <c r="F34" s="10" t="s">
        <v>402</v>
      </c>
      <c r="G34" s="10" t="s">
        <v>53</v>
      </c>
      <c r="H34" s="2" t="s">
        <v>449</v>
      </c>
    </row>
    <row r="35" spans="1:8" ht="33.950000000000003" customHeight="1">
      <c r="A35" s="2" t="s">
        <v>315</v>
      </c>
      <c r="B35" s="2" t="s">
        <v>452</v>
      </c>
      <c r="C35" s="12" t="s">
        <v>129</v>
      </c>
      <c r="D35" s="6">
        <v>8</v>
      </c>
      <c r="E35" s="2" t="s">
        <v>386</v>
      </c>
      <c r="F35" s="10" t="s">
        <v>402</v>
      </c>
      <c r="G35" s="10" t="s">
        <v>53</v>
      </c>
      <c r="H35" s="2" t="s">
        <v>453</v>
      </c>
    </row>
    <row r="36" spans="1:8" ht="33.950000000000003" customHeight="1">
      <c r="A36" s="2" t="s">
        <v>316</v>
      </c>
      <c r="B36" s="2" t="s">
        <v>454</v>
      </c>
      <c r="C36" s="11" t="s">
        <v>58</v>
      </c>
      <c r="D36" s="6">
        <v>5</v>
      </c>
      <c r="E36" s="2" t="s">
        <v>401</v>
      </c>
      <c r="F36" s="10" t="s">
        <v>402</v>
      </c>
      <c r="G36" s="10" t="s">
        <v>403</v>
      </c>
      <c r="H36" s="2"/>
    </row>
    <row r="37" spans="1:8" ht="33.950000000000003" customHeight="1">
      <c r="A37" s="2" t="s">
        <v>319</v>
      </c>
      <c r="B37" s="2" t="s">
        <v>455</v>
      </c>
      <c r="C37" s="12" t="s">
        <v>129</v>
      </c>
      <c r="D37" s="6">
        <v>13</v>
      </c>
      <c r="E37" s="2" t="s">
        <v>386</v>
      </c>
      <c r="F37" s="10" t="s">
        <v>402</v>
      </c>
      <c r="G37" s="10" t="s">
        <v>53</v>
      </c>
      <c r="H37" s="2" t="s">
        <v>456</v>
      </c>
    </row>
    <row r="38" spans="1:8" ht="33.950000000000003" customHeight="1">
      <c r="A38" s="2" t="s">
        <v>457</v>
      </c>
      <c r="B38" s="2" t="s">
        <v>458</v>
      </c>
      <c r="C38" s="11" t="s">
        <v>58</v>
      </c>
      <c r="D38" s="6">
        <v>8</v>
      </c>
      <c r="E38" s="2" t="s">
        <v>401</v>
      </c>
      <c r="F38" s="10" t="s">
        <v>402</v>
      </c>
      <c r="G38" s="10" t="s">
        <v>403</v>
      </c>
      <c r="H38" s="2"/>
    </row>
    <row r="39" spans="1:8" ht="33.950000000000003" customHeight="1">
      <c r="A39" s="2" t="s">
        <v>459</v>
      </c>
      <c r="B39" s="2" t="s">
        <v>460</v>
      </c>
      <c r="C39" s="11" t="s">
        <v>58</v>
      </c>
      <c r="D39" s="6">
        <v>8</v>
      </c>
      <c r="E39" s="2" t="s">
        <v>401</v>
      </c>
      <c r="F39" s="10" t="s">
        <v>402</v>
      </c>
      <c r="G39" s="10" t="s">
        <v>403</v>
      </c>
      <c r="H39" s="2"/>
    </row>
    <row r="40" spans="1:8" ht="33.950000000000003" customHeight="1">
      <c r="A40" s="2" t="s">
        <v>461</v>
      </c>
      <c r="B40" s="2" t="s">
        <v>462</v>
      </c>
      <c r="C40" s="10" t="s">
        <v>62</v>
      </c>
      <c r="D40" s="6">
        <v>5</v>
      </c>
      <c r="E40" s="2" t="s">
        <v>413</v>
      </c>
      <c r="F40" s="10" t="s">
        <v>402</v>
      </c>
      <c r="G40" s="10" t="s">
        <v>414</v>
      </c>
      <c r="H40" s="2"/>
    </row>
    <row r="41" spans="1:8" ht="21.95" customHeight="1"/>
    <row r="42" spans="1:8" ht="21.95" customHeight="1">
      <c r="A42" s="47" t="s">
        <v>463</v>
      </c>
      <c r="B42" s="47"/>
      <c r="C42" s="3"/>
      <c r="D42" s="48" t="s">
        <v>464</v>
      </c>
      <c r="E42" s="46"/>
      <c r="F42" s="46"/>
      <c r="G42" s="46"/>
      <c r="H42" s="46"/>
    </row>
    <row r="43" spans="1:8" ht="21.95" customHeight="1">
      <c r="A43" s="5" t="s">
        <v>23</v>
      </c>
      <c r="B43" s="5" t="s">
        <v>24</v>
      </c>
      <c r="D43" s="46"/>
      <c r="E43" s="46"/>
      <c r="F43" s="46"/>
      <c r="G43" s="46"/>
      <c r="H43" s="46"/>
    </row>
    <row r="44" spans="1:8" ht="21.95" customHeight="1">
      <c r="A44" t="s">
        <v>36</v>
      </c>
      <c r="B44" s="28">
        <f>SUMIF(C6:C40,"&lt;&gt;WON'T",D6:D40)</f>
        <v>187</v>
      </c>
      <c r="D44" s="46"/>
      <c r="E44" s="46"/>
      <c r="F44" s="46"/>
      <c r="G44" s="46"/>
      <c r="H44" s="46"/>
    </row>
    <row r="45" spans="1:8" ht="21.95" customHeight="1">
      <c r="A45" t="s">
        <v>42</v>
      </c>
      <c r="B45" s="28">
        <f>SUMIF(E6:E40,"R1",D6:D40)</f>
        <v>91</v>
      </c>
      <c r="D45" s="46"/>
      <c r="E45" s="46"/>
      <c r="F45" s="46"/>
      <c r="G45" s="46"/>
      <c r="H45" s="46"/>
    </row>
    <row r="46" spans="1:8" ht="21.95" customHeight="1">
      <c r="A46" t="s">
        <v>47</v>
      </c>
      <c r="B46" s="28">
        <f>SUMIF(F6:F40,"Oui",D6:D40)</f>
        <v>41</v>
      </c>
      <c r="D46" s="46"/>
      <c r="E46" s="46"/>
      <c r="F46" s="46"/>
      <c r="G46" s="46"/>
      <c r="H46" s="46"/>
    </row>
    <row r="47" spans="1:8" ht="21.95" customHeight="1">
      <c r="A47" t="s">
        <v>465</v>
      </c>
      <c r="B47" s="28">
        <f>B45-B46</f>
        <v>50</v>
      </c>
      <c r="D47" s="46"/>
      <c r="E47" s="46"/>
      <c r="F47" s="46"/>
      <c r="G47" s="46"/>
      <c r="H47" s="46"/>
    </row>
    <row r="48" spans="1:8" ht="21.95" customHeight="1">
      <c r="A48" t="s">
        <v>57</v>
      </c>
      <c r="B48" s="28">
        <f>SUMIF(E6:E40,"R2",D6:D40)</f>
        <v>57</v>
      </c>
      <c r="D48" s="46"/>
      <c r="E48" s="46"/>
      <c r="F48" s="46"/>
      <c r="G48" s="46"/>
      <c r="H48" s="46"/>
    </row>
    <row r="49" spans="1:8" ht="21.95" customHeight="1">
      <c r="A49" t="s">
        <v>59</v>
      </c>
      <c r="B49" s="28">
        <f>B47+B48</f>
        <v>107</v>
      </c>
      <c r="D49" s="46"/>
      <c r="E49" s="46"/>
      <c r="F49" s="46"/>
      <c r="G49" s="46"/>
      <c r="H49" s="46"/>
    </row>
    <row r="50" spans="1:8" ht="21.95" customHeight="1">
      <c r="A50" t="s">
        <v>61</v>
      </c>
      <c r="B50" s="28">
        <f>SUMIF(E6:E40,"R3",D6:D40)</f>
        <v>39</v>
      </c>
      <c r="D50" s="46"/>
      <c r="E50" s="46"/>
      <c r="F50" s="46"/>
      <c r="G50" s="46"/>
      <c r="H50" s="46"/>
    </row>
    <row r="51" spans="1:8" ht="21.95" customHeight="1">
      <c r="A51" t="s">
        <v>63</v>
      </c>
      <c r="B51" s="28">
        <f>SUMIF(E6:E40,"WON'T",D6:D40)</f>
        <v>47</v>
      </c>
      <c r="D51" s="46"/>
      <c r="E51" s="46"/>
      <c r="F51" s="46"/>
      <c r="G51" s="46"/>
      <c r="H51" s="46"/>
    </row>
    <row r="52" spans="1:8" ht="21.95" customHeight="1"/>
    <row r="53" spans="1:8" ht="21.95" customHeight="1"/>
    <row r="54" spans="1:8" ht="21.95" customHeight="1"/>
    <row r="55" spans="1:8" ht="21.95" customHeight="1"/>
    <row r="56" spans="1:8" ht="21.95" customHeight="1"/>
    <row r="57" spans="1:8" ht="21.95" customHeight="1"/>
    <row r="58" spans="1:8" ht="21.95" customHeight="1"/>
    <row r="59" spans="1:8" ht="21.95" customHeight="1"/>
    <row r="60" spans="1:8" ht="21.95" customHeight="1"/>
    <row r="61" spans="1:8" ht="21.95" customHeight="1"/>
    <row r="62" spans="1:8" ht="21.95" customHeight="1"/>
    <row r="63" spans="1:8" ht="21.95" customHeight="1"/>
    <row r="64" spans="1:8" ht="21.95" customHeight="1"/>
    <row r="65" ht="21.95" customHeight="1"/>
    <row r="66" ht="21.95" customHeight="1"/>
    <row r="67" ht="21.95" customHeight="1"/>
    <row r="68" ht="21.95" customHeight="1"/>
    <row r="69" ht="21.95" customHeight="1"/>
    <row r="70" ht="21.95" customHeight="1"/>
    <row r="71" ht="21.95" customHeight="1"/>
    <row r="72" ht="21.95" customHeight="1"/>
    <row r="73" ht="21.95" customHeight="1"/>
    <row r="74" ht="21.95" customHeight="1"/>
    <row r="75" ht="21.95" customHeight="1"/>
    <row r="76" ht="21.95" customHeight="1"/>
    <row r="77" ht="21.95" customHeight="1"/>
    <row r="78" ht="21.95" customHeight="1"/>
    <row r="79" ht="21.95" customHeight="1"/>
    <row r="80" ht="21.95" customHeight="1"/>
  </sheetData>
  <mergeCells count="4">
    <mergeCell ref="A1:H2"/>
    <mergeCell ref="A3:H3"/>
    <mergeCell ref="A42:B42"/>
    <mergeCell ref="D42:H5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80"/>
  <sheetViews>
    <sheetView topLeftCell="A2" workbookViewId="0">
      <selection sqref="A1:I2"/>
    </sheetView>
  </sheetViews>
  <sheetFormatPr baseColWidth="10" defaultColWidth="9" defaultRowHeight="14.25"/>
  <cols>
    <col min="1" max="1" width="8" customWidth="1"/>
    <col min="2" max="2" width="45" customWidth="1"/>
    <col min="3" max="3" width="13" customWidth="1"/>
    <col min="4" max="4" width="11" customWidth="1"/>
    <col min="5" max="5" width="12" customWidth="1"/>
    <col min="6" max="6" width="13" customWidth="1"/>
    <col min="7" max="7" width="46" customWidth="1"/>
    <col min="8" max="8" width="24" customWidth="1"/>
    <col min="9" max="9" width="10" customWidth="1"/>
  </cols>
  <sheetData>
    <row r="1" spans="1:9" ht="21.95" customHeight="1">
      <c r="A1" s="41" t="s">
        <v>466</v>
      </c>
      <c r="B1" s="42"/>
      <c r="C1" s="42"/>
      <c r="D1" s="42"/>
      <c r="E1" s="42"/>
      <c r="F1" s="42"/>
      <c r="G1" s="42"/>
      <c r="H1" s="42"/>
      <c r="I1" s="42"/>
    </row>
    <row r="2" spans="1:9" ht="21.95" customHeight="1">
      <c r="A2" s="42"/>
      <c r="B2" s="42"/>
      <c r="C2" s="42"/>
      <c r="D2" s="42"/>
      <c r="E2" s="42"/>
      <c r="F2" s="42"/>
      <c r="G2" s="42"/>
      <c r="H2" s="42"/>
      <c r="I2" s="42"/>
    </row>
    <row r="3" spans="1:9" ht="21.95" customHeight="1">
      <c r="A3" s="43" t="s">
        <v>467</v>
      </c>
      <c r="B3" s="42"/>
      <c r="C3" s="42"/>
      <c r="D3" s="42"/>
      <c r="E3" s="42"/>
      <c r="F3" s="42"/>
      <c r="G3" s="42"/>
      <c r="H3" s="42"/>
      <c r="I3" s="42"/>
    </row>
    <row r="4" spans="1:9" ht="21.95" customHeight="1"/>
    <row r="5" spans="1:9" ht="30" customHeight="1">
      <c r="A5" s="5" t="s">
        <v>377</v>
      </c>
      <c r="B5" s="5" t="s">
        <v>468</v>
      </c>
      <c r="C5" s="5" t="s">
        <v>469</v>
      </c>
      <c r="D5" s="5" t="s">
        <v>470</v>
      </c>
      <c r="E5" s="5" t="s">
        <v>471</v>
      </c>
      <c r="F5" s="5" t="s">
        <v>472</v>
      </c>
      <c r="G5" s="5" t="s">
        <v>473</v>
      </c>
      <c r="H5" s="5" t="s">
        <v>474</v>
      </c>
      <c r="I5" s="5" t="s">
        <v>475</v>
      </c>
    </row>
    <row r="6" spans="1:9" ht="57.95" customHeight="1">
      <c r="A6" s="26" t="s">
        <v>386</v>
      </c>
      <c r="B6" s="26" t="s">
        <v>476</v>
      </c>
      <c r="C6" s="34">
        <v>3</v>
      </c>
      <c r="D6" s="34">
        <v>3</v>
      </c>
      <c r="E6" s="34">
        <f>C6*D6</f>
        <v>9</v>
      </c>
      <c r="F6" s="26" t="s">
        <v>230</v>
      </c>
      <c r="G6" s="26" t="s">
        <v>477</v>
      </c>
      <c r="H6" s="26" t="s">
        <v>478</v>
      </c>
      <c r="I6" s="26">
        <v>29</v>
      </c>
    </row>
    <row r="7" spans="1:9" ht="57.95" customHeight="1">
      <c r="A7" s="9" t="s">
        <v>401</v>
      </c>
      <c r="B7" s="9" t="s">
        <v>479</v>
      </c>
      <c r="C7" s="22">
        <v>2</v>
      </c>
      <c r="D7" s="22">
        <v>3</v>
      </c>
      <c r="E7" s="22">
        <f>C7*D7</f>
        <v>6</v>
      </c>
      <c r="F7" s="9" t="s">
        <v>480</v>
      </c>
      <c r="G7" s="9" t="s">
        <v>481</v>
      </c>
      <c r="H7" s="9" t="s">
        <v>312</v>
      </c>
      <c r="I7" s="9">
        <v>13</v>
      </c>
    </row>
    <row r="8" spans="1:9" ht="57.95" customHeight="1">
      <c r="A8" s="10" t="s">
        <v>413</v>
      </c>
      <c r="B8" s="10" t="s">
        <v>482</v>
      </c>
      <c r="C8" s="23">
        <v>2</v>
      </c>
      <c r="D8" s="23">
        <v>2</v>
      </c>
      <c r="E8" s="23">
        <f>C8*D8</f>
        <v>4</v>
      </c>
      <c r="F8" s="10" t="s">
        <v>483</v>
      </c>
      <c r="G8" s="10" t="s">
        <v>484</v>
      </c>
      <c r="H8" s="10" t="s">
        <v>485</v>
      </c>
      <c r="I8" s="10">
        <v>13</v>
      </c>
    </row>
    <row r="9" spans="1:9" ht="57.95" customHeight="1">
      <c r="A9" s="10" t="s">
        <v>486</v>
      </c>
      <c r="B9" s="10" t="s">
        <v>487</v>
      </c>
      <c r="C9" s="23">
        <v>1</v>
      </c>
      <c r="D9" s="23">
        <v>3</v>
      </c>
      <c r="E9" s="23">
        <f>C9*D9</f>
        <v>3</v>
      </c>
      <c r="F9" s="10" t="s">
        <v>483</v>
      </c>
      <c r="G9" s="10" t="s">
        <v>488</v>
      </c>
      <c r="H9" s="10" t="s">
        <v>461</v>
      </c>
      <c r="I9" s="10">
        <v>5</v>
      </c>
    </row>
    <row r="10" spans="1:9" ht="57.95" customHeight="1">
      <c r="A10" s="9" t="s">
        <v>489</v>
      </c>
      <c r="B10" s="9" t="s">
        <v>490</v>
      </c>
      <c r="C10" s="22">
        <v>2</v>
      </c>
      <c r="D10" s="22">
        <v>3</v>
      </c>
      <c r="E10" s="22">
        <f>C10*D10</f>
        <v>6</v>
      </c>
      <c r="F10" s="9" t="s">
        <v>480</v>
      </c>
      <c r="G10" s="9" t="s">
        <v>491</v>
      </c>
      <c r="H10" s="9" t="s">
        <v>457</v>
      </c>
      <c r="I10" s="9">
        <v>8</v>
      </c>
    </row>
    <row r="11" spans="1:9" ht="21.95" customHeight="1"/>
    <row r="12" spans="1:9" ht="21.95" customHeight="1">
      <c r="A12" s="44" t="s">
        <v>492</v>
      </c>
      <c r="B12" s="44"/>
      <c r="C12" s="44"/>
      <c r="D12" s="44"/>
      <c r="E12" s="44"/>
      <c r="F12" s="44"/>
      <c r="G12" s="44"/>
      <c r="H12" s="44"/>
      <c r="I12" s="44"/>
    </row>
    <row r="13" spans="1:9" ht="21.95" customHeight="1">
      <c r="A13" s="46" t="s">
        <v>493</v>
      </c>
      <c r="B13" s="46"/>
      <c r="C13" s="46"/>
      <c r="D13" s="46"/>
      <c r="E13" s="46"/>
      <c r="F13" s="46"/>
      <c r="G13" s="46"/>
      <c r="H13" s="46"/>
      <c r="I13" s="46"/>
    </row>
    <row r="14" spans="1:9" ht="21.95" customHeight="1">
      <c r="A14" s="46"/>
      <c r="B14" s="46"/>
      <c r="C14" s="46"/>
      <c r="D14" s="46"/>
      <c r="E14" s="46"/>
      <c r="F14" s="46"/>
      <c r="G14" s="46"/>
      <c r="H14" s="46"/>
      <c r="I14" s="46"/>
    </row>
    <row r="15" spans="1:9" ht="21.95" customHeight="1">
      <c r="A15" s="46"/>
      <c r="B15" s="46"/>
      <c r="C15" s="46"/>
      <c r="D15" s="46"/>
      <c r="E15" s="46"/>
      <c r="F15" s="46"/>
      <c r="G15" s="46"/>
      <c r="H15" s="46"/>
      <c r="I15" s="46"/>
    </row>
    <row r="16" spans="1:9" ht="21.95" customHeight="1"/>
    <row r="17" ht="21.95" customHeight="1"/>
    <row r="18" ht="21.95" customHeight="1"/>
    <row r="19" ht="21.95" customHeight="1"/>
    <row r="20" ht="21.95" customHeight="1"/>
    <row r="21" ht="21.95" customHeight="1"/>
    <row r="22" ht="21.95" customHeight="1"/>
    <row r="23" ht="21.95" customHeight="1"/>
    <row r="24" ht="21.95" customHeight="1"/>
    <row r="25" ht="21.95" customHeight="1"/>
    <row r="26" ht="21.95" customHeight="1"/>
    <row r="27" ht="21.95" customHeight="1"/>
    <row r="28" ht="21.95" customHeight="1"/>
    <row r="29" ht="21.95" customHeight="1"/>
    <row r="30" ht="21.95" customHeight="1"/>
    <row r="31" ht="21.95" customHeight="1"/>
    <row r="32" ht="21.95" customHeight="1"/>
    <row r="33" ht="21.95" customHeight="1"/>
    <row r="34" ht="21.95" customHeight="1"/>
    <row r="35" ht="21.95" customHeight="1"/>
    <row r="36" ht="21.95" customHeight="1"/>
    <row r="37" ht="21.95" customHeight="1"/>
    <row r="38" ht="21.95" customHeight="1"/>
    <row r="39" ht="21.95" customHeight="1"/>
    <row r="40" ht="21.95" customHeight="1"/>
    <row r="41" ht="21.95" customHeight="1"/>
    <row r="42" ht="21.95" customHeight="1"/>
    <row r="43" ht="21.95" customHeight="1"/>
    <row r="44" ht="21.95" customHeight="1"/>
    <row r="45" ht="21.95" customHeight="1"/>
    <row r="46" ht="21.95" customHeight="1"/>
    <row r="47" ht="21.95" customHeight="1"/>
    <row r="48" ht="21.95" customHeight="1"/>
    <row r="49" ht="21.95" customHeight="1"/>
    <row r="50" ht="21.95" customHeight="1"/>
    <row r="51" ht="21.95" customHeight="1"/>
    <row r="52" ht="21.95" customHeight="1"/>
    <row r="53" ht="21.95" customHeight="1"/>
    <row r="54" ht="21.95" customHeight="1"/>
    <row r="55" ht="21.95" customHeight="1"/>
    <row r="56" ht="21.95" customHeight="1"/>
    <row r="57" ht="21.95" customHeight="1"/>
    <row r="58" ht="21.95" customHeight="1"/>
    <row r="59" ht="21.95" customHeight="1"/>
    <row r="60" ht="21.95" customHeight="1"/>
    <row r="61" ht="21.95" customHeight="1"/>
    <row r="62" ht="21.95" customHeight="1"/>
    <row r="63" ht="21.95" customHeight="1"/>
    <row r="64" ht="21.95" customHeight="1"/>
    <row r="65" ht="21.95" customHeight="1"/>
    <row r="66" ht="21.95" customHeight="1"/>
    <row r="67" ht="21.95" customHeight="1"/>
    <row r="68" ht="21.95" customHeight="1"/>
    <row r="69" ht="21.95" customHeight="1"/>
    <row r="70" ht="21.95" customHeight="1"/>
    <row r="71" ht="21.95" customHeight="1"/>
    <row r="72" ht="21.95" customHeight="1"/>
    <row r="73" ht="21.95" customHeight="1"/>
    <row r="74" ht="21.95" customHeight="1"/>
    <row r="75" ht="21.95" customHeight="1"/>
    <row r="76" ht="21.95" customHeight="1"/>
    <row r="77" ht="21.95" customHeight="1"/>
    <row r="78" ht="21.95" customHeight="1"/>
    <row r="79" ht="21.95" customHeight="1"/>
    <row r="80" ht="21.95" customHeight="1"/>
  </sheetData>
  <mergeCells count="4">
    <mergeCell ref="A1:I2"/>
    <mergeCell ref="A3:I3"/>
    <mergeCell ref="A12:I12"/>
    <mergeCell ref="A13:I15"/>
  </mergeCells>
  <conditionalFormatting sqref="E6:E10">
    <cfRule type="colorScale" priority="1">
      <colorScale>
        <cfvo type="min"/>
        <cfvo type="percentile" val="50"/>
        <cfvo type="max"/>
        <color rgb="FFD9F2E3"/>
        <color rgb="FFFFF2CC"/>
        <color rgb="FFFCE8E6"/>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80"/>
  <sheetViews>
    <sheetView workbookViewId="0">
      <selection activeCell="A3" sqref="A3:E3"/>
    </sheetView>
  </sheetViews>
  <sheetFormatPr baseColWidth="10" defaultColWidth="9" defaultRowHeight="14.25"/>
  <cols>
    <col min="1" max="1" width="21" customWidth="1"/>
    <col min="2" max="2" width="58" customWidth="1"/>
    <col min="3" max="3" width="48" customWidth="1"/>
    <col min="4" max="4" width="17" customWidth="1"/>
    <col min="5" max="5" width="14" customWidth="1"/>
  </cols>
  <sheetData>
    <row r="1" spans="1:5" ht="21.95" customHeight="1">
      <c r="A1" s="41" t="s">
        <v>494</v>
      </c>
      <c r="B1" s="42"/>
      <c r="C1" s="42"/>
      <c r="D1" s="42"/>
      <c r="E1" s="42"/>
    </row>
    <row r="2" spans="1:5" ht="21.95" customHeight="1">
      <c r="A2" s="42"/>
      <c r="B2" s="42"/>
      <c r="C2" s="42"/>
      <c r="D2" s="42"/>
      <c r="E2" s="42"/>
    </row>
    <row r="3" spans="1:5" ht="21.95" customHeight="1">
      <c r="A3" s="43" t="s">
        <v>495</v>
      </c>
      <c r="B3" s="42"/>
      <c r="C3" s="42"/>
      <c r="D3" s="42"/>
      <c r="E3" s="42"/>
    </row>
    <row r="4" spans="1:5" ht="21.95" customHeight="1"/>
    <row r="5" spans="1:5" ht="21.95" customHeight="1">
      <c r="A5" s="5" t="s">
        <v>377</v>
      </c>
      <c r="B5" s="5" t="s">
        <v>126</v>
      </c>
      <c r="C5" s="5" t="s">
        <v>327</v>
      </c>
      <c r="D5" s="5" t="s">
        <v>496</v>
      </c>
      <c r="E5" s="5" t="s">
        <v>17</v>
      </c>
    </row>
    <row r="6" spans="1:5" ht="21.95" customHeight="1">
      <c r="A6" s="2" t="s">
        <v>497</v>
      </c>
      <c r="B6" s="2" t="s">
        <v>498</v>
      </c>
      <c r="C6" s="2" t="s">
        <v>499</v>
      </c>
      <c r="D6" s="2" t="s">
        <v>500</v>
      </c>
      <c r="E6" s="31" t="s">
        <v>501</v>
      </c>
    </row>
    <row r="7" spans="1:5" ht="29.25" customHeight="1">
      <c r="A7" s="2" t="s">
        <v>502</v>
      </c>
      <c r="B7" s="2" t="s">
        <v>503</v>
      </c>
      <c r="C7" s="2" t="s">
        <v>504</v>
      </c>
      <c r="D7" s="2" t="s">
        <v>338</v>
      </c>
      <c r="E7" s="31" t="s">
        <v>501</v>
      </c>
    </row>
    <row r="8" spans="1:5" ht="34.5" customHeight="1">
      <c r="A8" s="2" t="s">
        <v>505</v>
      </c>
      <c r="B8" s="2" t="s">
        <v>506</v>
      </c>
      <c r="C8" s="2" t="s">
        <v>507</v>
      </c>
      <c r="D8" s="2" t="s">
        <v>508</v>
      </c>
      <c r="E8" s="31" t="s">
        <v>501</v>
      </c>
    </row>
    <row r="9" spans="1:5" ht="21.95" customHeight="1">
      <c r="A9" s="2" t="s">
        <v>509</v>
      </c>
      <c r="B9" s="2" t="s">
        <v>510</v>
      </c>
      <c r="C9" s="2" t="s">
        <v>511</v>
      </c>
      <c r="D9" s="2" t="s">
        <v>512</v>
      </c>
      <c r="E9" s="31" t="s">
        <v>501</v>
      </c>
    </row>
    <row r="10" spans="1:5" ht="21.95" customHeight="1">
      <c r="A10" s="2" t="s">
        <v>513</v>
      </c>
      <c r="B10" s="2" t="s">
        <v>514</v>
      </c>
      <c r="C10" s="2" t="s">
        <v>515</v>
      </c>
      <c r="D10" s="2" t="s">
        <v>516</v>
      </c>
      <c r="E10" s="31" t="s">
        <v>501</v>
      </c>
    </row>
    <row r="11" spans="1:5" ht="32.25" customHeight="1">
      <c r="A11" s="2" t="s">
        <v>517</v>
      </c>
      <c r="B11" s="2" t="s">
        <v>518</v>
      </c>
      <c r="C11" s="2" t="s">
        <v>519</v>
      </c>
      <c r="D11" s="2" t="s">
        <v>520</v>
      </c>
      <c r="E11" s="31" t="s">
        <v>501</v>
      </c>
    </row>
    <row r="12" spans="1:5" ht="34.5" customHeight="1">
      <c r="A12" s="2" t="s">
        <v>521</v>
      </c>
      <c r="B12" s="2" t="s">
        <v>522</v>
      </c>
      <c r="C12" s="2" t="s">
        <v>523</v>
      </c>
      <c r="D12" s="2" t="s">
        <v>524</v>
      </c>
      <c r="E12" s="32" t="s">
        <v>525</v>
      </c>
    </row>
    <row r="13" spans="1:5" ht="21.95" customHeight="1"/>
    <row r="14" spans="1:5" ht="21.95" customHeight="1">
      <c r="A14" s="44" t="s">
        <v>526</v>
      </c>
      <c r="B14" s="44"/>
      <c r="C14" s="44"/>
      <c r="D14" s="44"/>
      <c r="E14" s="44"/>
    </row>
    <row r="15" spans="1:5" ht="21.95" customHeight="1">
      <c r="A15" s="5" t="s">
        <v>27</v>
      </c>
      <c r="B15" s="5" t="s">
        <v>527</v>
      </c>
      <c r="C15" s="5" t="s">
        <v>528</v>
      </c>
      <c r="D15" s="5" t="s">
        <v>529</v>
      </c>
      <c r="E15" s="5" t="s">
        <v>530</v>
      </c>
    </row>
    <row r="16" spans="1:5" ht="21.95" customHeight="1">
      <c r="A16" s="2" t="s">
        <v>531</v>
      </c>
      <c r="B16" s="2" t="s">
        <v>50</v>
      </c>
      <c r="C16" s="2" t="s">
        <v>532</v>
      </c>
      <c r="D16" s="2" t="s">
        <v>16</v>
      </c>
      <c r="E16" s="2" t="s">
        <v>533</v>
      </c>
    </row>
    <row r="17" spans="1:5" ht="21.95" customHeight="1">
      <c r="A17" s="2" t="s">
        <v>206</v>
      </c>
      <c r="B17" s="2" t="s">
        <v>534</v>
      </c>
      <c r="C17" s="2" t="s">
        <v>535</v>
      </c>
      <c r="D17" s="2" t="s">
        <v>16</v>
      </c>
      <c r="E17" s="2" t="s">
        <v>536</v>
      </c>
    </row>
    <row r="18" spans="1:5" ht="21.95" customHeight="1">
      <c r="A18" s="2" t="s">
        <v>537</v>
      </c>
      <c r="B18" s="2" t="s">
        <v>40</v>
      </c>
      <c r="C18" s="2" t="s">
        <v>538</v>
      </c>
      <c r="D18" s="2" t="s">
        <v>16</v>
      </c>
      <c r="E18" s="2" t="s">
        <v>536</v>
      </c>
    </row>
    <row r="19" spans="1:5" ht="21.95" customHeight="1">
      <c r="A19" s="2" t="s">
        <v>539</v>
      </c>
      <c r="B19" s="2" t="s">
        <v>45</v>
      </c>
      <c r="C19" s="2" t="s">
        <v>540</v>
      </c>
      <c r="D19" s="2" t="s">
        <v>16</v>
      </c>
      <c r="E19" s="2" t="s">
        <v>536</v>
      </c>
    </row>
    <row r="20" spans="1:5" ht="21.95" customHeight="1">
      <c r="A20" s="2" t="s">
        <v>541</v>
      </c>
      <c r="B20" s="2" t="s">
        <v>542</v>
      </c>
      <c r="C20" s="2" t="s">
        <v>543</v>
      </c>
      <c r="D20" s="2" t="s">
        <v>16</v>
      </c>
      <c r="E20" s="2" t="s">
        <v>544</v>
      </c>
    </row>
    <row r="21" spans="1:5" ht="21.95" customHeight="1"/>
    <row r="22" spans="1:5" ht="21.95" customHeight="1"/>
    <row r="23" spans="1:5" ht="21.95" customHeight="1"/>
    <row r="24" spans="1:5" ht="21.95" customHeight="1"/>
    <row r="25" spans="1:5" ht="21.95" customHeight="1"/>
    <row r="26" spans="1:5" ht="21.95" customHeight="1"/>
    <row r="27" spans="1:5" ht="21.95" customHeight="1"/>
    <row r="28" spans="1:5" ht="21.95" customHeight="1"/>
    <row r="29" spans="1:5" ht="21.95" customHeight="1"/>
    <row r="30" spans="1:5" ht="21.95" customHeight="1"/>
    <row r="31" spans="1:5" ht="21.95" customHeight="1"/>
    <row r="32" spans="1:5" ht="21.95" customHeight="1"/>
    <row r="33" ht="21.95" customHeight="1"/>
    <row r="34" ht="21.95" customHeight="1"/>
    <row r="35" ht="21.95" customHeight="1"/>
    <row r="36" ht="21.95" customHeight="1"/>
    <row r="37" ht="21.95" customHeight="1"/>
    <row r="38" ht="21.95" customHeight="1"/>
    <row r="39" ht="21.95" customHeight="1"/>
    <row r="40" ht="21.95" customHeight="1"/>
    <row r="41" ht="21.95" customHeight="1"/>
    <row r="42" ht="21.95" customHeight="1"/>
    <row r="43" ht="21.95" customHeight="1"/>
    <row r="44" ht="21.95" customHeight="1"/>
    <row r="45" ht="21.95" customHeight="1"/>
    <row r="46" ht="21.95" customHeight="1"/>
    <row r="47" ht="21.95" customHeight="1"/>
    <row r="48" ht="21.95" customHeight="1"/>
    <row r="49" ht="21.95" customHeight="1"/>
    <row r="50" ht="21.95" customHeight="1"/>
    <row r="51" ht="21.95" customHeight="1"/>
    <row r="52" ht="21.95" customHeight="1"/>
    <row r="53" ht="21.95" customHeight="1"/>
    <row r="54" ht="21.95" customHeight="1"/>
    <row r="55" ht="21.95" customHeight="1"/>
    <row r="56" ht="21.95" customHeight="1"/>
    <row r="57" ht="21.95" customHeight="1"/>
    <row r="58" ht="21.95" customHeight="1"/>
    <row r="59" ht="21.95" customHeight="1"/>
    <row r="60" ht="21.95" customHeight="1"/>
    <row r="61" ht="21.95" customHeight="1"/>
    <row r="62" ht="21.95" customHeight="1"/>
    <row r="63" ht="21.95" customHeight="1"/>
    <row r="64" ht="21.95" customHeight="1"/>
    <row r="65" ht="21.95" customHeight="1"/>
    <row r="66" ht="21.95" customHeight="1"/>
    <row r="67" ht="21.95" customHeight="1"/>
    <row r="68" ht="21.95" customHeight="1"/>
    <row r="69" ht="21.95" customHeight="1"/>
    <row r="70" ht="21.95" customHeight="1"/>
    <row r="71" ht="21.95" customHeight="1"/>
    <row r="72" ht="21.95" customHeight="1"/>
    <row r="73" ht="21.95" customHeight="1"/>
    <row r="74" ht="21.95" customHeight="1"/>
    <row r="75" ht="21.95" customHeight="1"/>
    <row r="76" ht="21.95" customHeight="1"/>
    <row r="77" ht="21.95" customHeight="1"/>
    <row r="78" ht="21.95" customHeight="1"/>
    <row r="79" ht="21.95" customHeight="1"/>
    <row r="80" ht="21.95" customHeight="1"/>
  </sheetData>
  <mergeCells count="3">
    <mergeCell ref="A1:E2"/>
    <mergeCell ref="A3:E3"/>
    <mergeCell ref="A14:E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00_Couverture</vt:lpstr>
      <vt:lpstr>01_Identification</vt:lpstr>
      <vt:lpstr>02_Release_Planning</vt:lpstr>
      <vt:lpstr>03_Burnup</vt:lpstr>
      <vt:lpstr>04_Auto-évaluation</vt:lpstr>
      <vt:lpstr>05_Écarts_à_valider</vt:lpstr>
      <vt:lpstr>06_Traceabilité_SM</vt:lpstr>
      <vt:lpstr>07_Modifications</vt:lpstr>
      <vt:lpstr>08_Périmètre_Stories</vt:lpstr>
      <vt:lpstr>09_Risques_J4</vt:lpstr>
      <vt:lpstr>10_Décisions_Sources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Ulysse</dc:creator>
  <cp:lastModifiedBy>That Guy Digg</cp:lastModifiedBy>
  <dcterms:created xsi:type="dcterms:W3CDTF">2026-07-02T15:26:17Z</dcterms:created>
  <dcterms:modified xsi:type="dcterms:W3CDTF">2026-07-02T15:30:34Z</dcterms:modified>
</cp:coreProperties>
</file>